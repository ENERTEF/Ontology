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olors1.xml" ContentType="application/vnd.ms-office.chartcolorstyle+xml"/>
  <Override PartName="/xl/charts/style1.xml" ContentType="application/vnd.ms-office.chartstyle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general" sheetId="12" r:id="rId1"/>
    <sheet name="0.6" sheetId="1" r:id="rId2"/>
    <sheet name="0.62" sheetId="2" r:id="rId3"/>
    <sheet name="0.64" sheetId="3" r:id="rId4"/>
    <sheet name="0.66" sheetId="4" r:id="rId5"/>
    <sheet name="0.68" sheetId="5" r:id="rId6"/>
    <sheet name="0.7" sheetId="6" r:id="rId7"/>
    <sheet name="0.72" sheetId="7" r:id="rId8"/>
    <sheet name="0.74" sheetId="8" r:id="rId9"/>
    <sheet name="0.76" sheetId="9" r:id="rId10"/>
    <sheet name="0.78" sheetId="10" r:id="rId11"/>
    <sheet name="0.8" sheetId="11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<sst xmlns="http://schemas.openxmlformats.org/spreadsheetml/2006/main" count="203" uniqueCount="25">
  <si>
    <t>Ontology</t>
  </si>
  <si>
    <t>Percentage_Value</t>
  </si>
  <si>
    <t>Sim_Thershold</t>
  </si>
  <si>
    <t>SAREF4BLDG</t>
  </si>
  <si>
    <t>SAREF4ENER</t>
  </si>
  <si>
    <t>SAREF4GRID</t>
  </si>
  <si>
    <t>SARGON</t>
  </si>
  <si>
    <t>SBEO</t>
  </si>
  <si>
    <t>EM-KPI</t>
  </si>
  <si>
    <t>FSO</t>
  </si>
  <si>
    <t>SSN</t>
  </si>
  <si>
    <t>BIMERR-Building</t>
  </si>
  <si>
    <t>BIMERR-Weather</t>
  </si>
  <si>
    <t>BIMERR-Sensor</t>
  </si>
  <si>
    <t>BED</t>
  </si>
  <si>
    <t>OEO</t>
  </si>
  <si>
    <t>BERT_Sim</t>
  </si>
  <si>
    <t>BONSAI</t>
  </si>
  <si>
    <t>BCOM</t>
  </si>
  <si>
    <t>BIMERR</t>
  </si>
  <si>
    <t>RESPOND</t>
  </si>
  <si>
    <t>SOSA</t>
  </si>
  <si>
    <t>BTO</t>
  </si>
  <si>
    <t>sum</t>
  </si>
  <si>
    <t>sim_threshold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</si>
</sst>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4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b/>
      <sz val="11"/>
      <color rgb="FF3F3F3F"/>
      <name val="宋体"/>
      <charset val="134"/>
      <scheme val="minor"/>
    </font>
    <font>
      <b/>
      <sz val="11"/>
      <color theme="0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rgb="FF3F3F3F"/>
      </right>
      <top style="thin">
        <color auto="1"/>
      </top>
      <bottom/>
      <diagonal/>
    </border>
    <border>
      <left style="thin">
        <color rgb="FF3F3F3F"/>
      </left>
      <right style="thin">
        <color rgb="FF3F3F3F"/>
      </right>
      <top style="thin">
        <color auto="1"/>
      </top>
      <bottom/>
      <diagonal/>
    </border>
    <border>
      <left style="thin">
        <color rgb="FF3F3F3F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double">
        <color rgb="FF3F3F3F"/>
      </right>
      <top/>
      <bottom/>
      <diagonal/>
    </border>
    <border>
      <left style="double">
        <color rgb="FF3F3F3F"/>
      </left>
      <right style="double">
        <color rgb="FF3F3F3F"/>
      </right>
      <top/>
      <bottom/>
      <diagonal/>
    </border>
    <border>
      <left style="double">
        <color rgb="FF3F3F3F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6" fillId="0" borderId="0" applyFont="0" applyFill="0" applyBorder="0" applyAlignment="0" applyProtection="0">
      <alignment vertical="center"/>
    </xf>
    <xf numFmtId="44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177" fontId="6" fillId="0" borderId="0" applyFont="0" applyFill="0" applyBorder="0" applyAlignment="0" applyProtection="0">
      <alignment vertical="center"/>
    </xf>
    <xf numFmtId="42" fontId="6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4" borderId="14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15" applyNumberFormat="0" applyFill="0" applyAlignment="0" applyProtection="0">
      <alignment vertical="center"/>
    </xf>
    <xf numFmtId="0" fontId="13" fillId="0" borderId="15" applyNumberFormat="0" applyFill="0" applyAlignment="0" applyProtection="0">
      <alignment vertical="center"/>
    </xf>
    <xf numFmtId="0" fontId="14" fillId="0" borderId="16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17" applyNumberFormat="0" applyAlignment="0" applyProtection="0">
      <alignment vertical="center"/>
    </xf>
    <xf numFmtId="0" fontId="2" fillId="2" borderId="18" applyNumberFormat="0" applyAlignment="0" applyProtection="0">
      <alignment vertical="center"/>
    </xf>
    <xf numFmtId="0" fontId="16" fillId="6" borderId="17" applyNumberFormat="0" applyAlignment="0" applyProtection="0">
      <alignment vertical="center"/>
    </xf>
    <xf numFmtId="0" fontId="3" fillId="3" borderId="19" applyNumberFormat="0" applyAlignment="0" applyProtection="0">
      <alignment vertical="center"/>
    </xf>
    <xf numFmtId="0" fontId="17" fillId="0" borderId="20" applyNumberFormat="0" applyFill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2" borderId="2" xfId="17" applyBorder="1" applyAlignment="1">
      <alignment horizontal="center" vertical="center"/>
    </xf>
    <xf numFmtId="0" fontId="2" fillId="2" borderId="3" xfId="17" applyBorder="1" applyAlignment="1">
      <alignment horizontal="center" vertical="top"/>
    </xf>
    <xf numFmtId="0" fontId="2" fillId="2" borderId="4" xfId="17" applyBorder="1" applyAlignment="1">
      <alignment horizontal="center" vertical="top"/>
    </xf>
    <xf numFmtId="0" fontId="2" fillId="2" borderId="5" xfId="17" applyBorder="1" applyAlignment="1">
      <alignment horizontal="center" vertical="top"/>
    </xf>
    <xf numFmtId="0" fontId="2" fillId="2" borderId="6" xfId="17" applyBorder="1" applyAlignment="1">
      <alignment horizontal="center" vertical="center"/>
    </xf>
    <xf numFmtId="0" fontId="3" fillId="3" borderId="7" xfId="19" applyBorder="1" applyAlignment="1">
      <alignment horizontal="center"/>
    </xf>
    <xf numFmtId="0" fontId="3" fillId="3" borderId="8" xfId="19" applyBorder="1" applyAlignment="1">
      <alignment horizontal="center"/>
    </xf>
    <xf numFmtId="0" fontId="3" fillId="3" borderId="9" xfId="19" applyBorder="1" applyAlignment="1">
      <alignment horizontal="center"/>
    </xf>
    <xf numFmtId="0" fontId="4" fillId="0" borderId="0" xfId="0" applyFont="1"/>
    <xf numFmtId="0" fontId="4" fillId="0" borderId="10" xfId="0" applyFont="1" applyBorder="1"/>
    <xf numFmtId="0" fontId="5" fillId="0" borderId="0" xfId="0" applyFont="1"/>
    <xf numFmtId="0" fontId="5" fillId="0" borderId="10" xfId="0" applyFont="1" applyBorder="1"/>
    <xf numFmtId="0" fontId="6" fillId="0" borderId="6" xfId="0" applyFont="1" applyFill="1" applyBorder="1" applyAlignment="1">
      <alignment vertical="center"/>
    </xf>
    <xf numFmtId="0" fontId="6" fillId="0" borderId="0" xfId="0" applyFont="1" applyFill="1" applyAlignment="1">
      <alignment vertical="center"/>
    </xf>
    <xf numFmtId="0" fontId="6" fillId="0" borderId="10" xfId="0" applyFont="1" applyFill="1" applyBorder="1" applyAlignment="1">
      <alignment vertical="center"/>
    </xf>
    <xf numFmtId="0" fontId="6" fillId="0" borderId="11" xfId="0" applyFont="1" applyFill="1" applyBorder="1" applyAlignment="1">
      <alignment vertical="center"/>
    </xf>
    <xf numFmtId="0" fontId="6" fillId="0" borderId="12" xfId="0" applyFont="1" applyFill="1" applyBorder="1" applyAlignment="1">
      <alignment vertical="center"/>
    </xf>
    <xf numFmtId="0" fontId="6" fillId="0" borderId="13" xfId="0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general!$C$3</c:f>
              <c:strCache>
                <c:ptCount val="1"/>
                <c:pt idx="0">
                  <c:v>0.6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general!$B$4:$B$16</c:f>
              <c:strCache>
                <c:ptCount val="13"/>
                <c:pt idx="0">
                  <c:v>SAREF4BLDG</c:v>
                </c:pt>
                <c:pt idx="1">
                  <c:v>SAREF4ENER</c:v>
                </c:pt>
                <c:pt idx="2">
                  <c:v>SAREF4GRID</c:v>
                </c:pt>
                <c:pt idx="3">
                  <c:v>SARGON</c:v>
                </c:pt>
                <c:pt idx="4">
                  <c:v>SBEO</c:v>
                </c:pt>
                <c:pt idx="5">
                  <c:v>EM-KPI</c:v>
                </c:pt>
                <c:pt idx="6">
                  <c:v>FSO</c:v>
                </c:pt>
                <c:pt idx="7">
                  <c:v>SSN</c:v>
                </c:pt>
                <c:pt idx="8">
                  <c:v>BIMERR-Building</c:v>
                </c:pt>
                <c:pt idx="9">
                  <c:v>BIMERR-Weather</c:v>
                </c:pt>
                <c:pt idx="10">
                  <c:v>BIMERR-Sensor</c:v>
                </c:pt>
                <c:pt idx="11">
                  <c:v>BED</c:v>
                </c:pt>
                <c:pt idx="12">
                  <c:v>OEO</c:v>
                </c:pt>
              </c:strCache>
            </c:strRef>
          </c:cat>
          <c:val>
            <c:numRef>
              <c:f>general!$C$4:$C$16</c:f>
              <c:numCache>
                <c:formatCode>General</c:formatCode>
                <c:ptCount val="13"/>
                <c:pt idx="0">
                  <c:v>0.0409178664082534</c:v>
                </c:pt>
                <c:pt idx="1">
                  <c:v>0.0140149252097543</c:v>
                </c:pt>
                <c:pt idx="2">
                  <c:v>0.0263135607623575</c:v>
                </c:pt>
                <c:pt idx="3">
                  <c:v>0.0638409053067861</c:v>
                </c:pt>
                <c:pt idx="4">
                  <c:v>0.0572551694655996</c:v>
                </c:pt>
                <c:pt idx="5">
                  <c:v>0.072393547119612</c:v>
                </c:pt>
                <c:pt idx="6">
                  <c:v>0.0098114846798535</c:v>
                </c:pt>
                <c:pt idx="7">
                  <c:v>0.00761931208990385</c:v>
                </c:pt>
                <c:pt idx="8">
                  <c:v>0.0309387280559491</c:v>
                </c:pt>
                <c:pt idx="9">
                  <c:v>0.0160895673901508</c:v>
                </c:pt>
                <c:pt idx="10">
                  <c:v>0.00967551812762535</c:v>
                </c:pt>
                <c:pt idx="11">
                  <c:v>0.270412122685616</c:v>
                </c:pt>
                <c:pt idx="12">
                  <c:v>0.380717292698538</c:v>
                </c:pt>
              </c:numCache>
            </c:numRef>
          </c:val>
        </c:ser>
        <c:ser>
          <c:idx val="1"/>
          <c:order val="1"/>
          <c:tx>
            <c:strRef>
              <c:f>general!$E$3</c:f>
              <c:strCache>
                <c:ptCount val="1"/>
                <c:pt idx="0">
                  <c:v>0.7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general!$B$4:$B$16</c:f>
              <c:strCache>
                <c:ptCount val="13"/>
                <c:pt idx="0">
                  <c:v>SAREF4BLDG</c:v>
                </c:pt>
                <c:pt idx="1">
                  <c:v>SAREF4ENER</c:v>
                </c:pt>
                <c:pt idx="2">
                  <c:v>SAREF4GRID</c:v>
                </c:pt>
                <c:pt idx="3">
                  <c:v>SARGON</c:v>
                </c:pt>
                <c:pt idx="4">
                  <c:v>SBEO</c:v>
                </c:pt>
                <c:pt idx="5">
                  <c:v>EM-KPI</c:v>
                </c:pt>
                <c:pt idx="6">
                  <c:v>FSO</c:v>
                </c:pt>
                <c:pt idx="7">
                  <c:v>SSN</c:v>
                </c:pt>
                <c:pt idx="8">
                  <c:v>BIMERR-Building</c:v>
                </c:pt>
                <c:pt idx="9">
                  <c:v>BIMERR-Weather</c:v>
                </c:pt>
                <c:pt idx="10">
                  <c:v>BIMERR-Sensor</c:v>
                </c:pt>
                <c:pt idx="11">
                  <c:v>BED</c:v>
                </c:pt>
                <c:pt idx="12">
                  <c:v>OEO</c:v>
                </c:pt>
              </c:strCache>
            </c:strRef>
          </c:cat>
          <c:val>
            <c:numRef>
              <c:f>general!$E$4:$E$16</c:f>
              <c:numCache>
                <c:formatCode>General</c:formatCode>
                <c:ptCount val="13"/>
                <c:pt idx="0">
                  <c:v>0.0464490898229587</c:v>
                </c:pt>
                <c:pt idx="1">
                  <c:v>0.0182438778901026</c:v>
                </c:pt>
                <c:pt idx="2">
                  <c:v>0.0221815436802385</c:v>
                </c:pt>
                <c:pt idx="3">
                  <c:v>0.0550908256228715</c:v>
                </c:pt>
                <c:pt idx="4">
                  <c:v>0.0625819946870324</c:v>
                </c:pt>
                <c:pt idx="5">
                  <c:v>0.103568293530895</c:v>
                </c:pt>
                <c:pt idx="6">
                  <c:v>0.0155240072760381</c:v>
                </c:pt>
                <c:pt idx="7">
                  <c:v>0.00329995601339191</c:v>
                </c:pt>
                <c:pt idx="8">
                  <c:v>0.0346898752048066</c:v>
                </c:pt>
                <c:pt idx="9">
                  <c:v>0.0135359662551646</c:v>
                </c:pt>
                <c:pt idx="10">
                  <c:v>0.00939277351890944</c:v>
                </c:pt>
                <c:pt idx="11">
                  <c:v>0.308296181616671</c:v>
                </c:pt>
                <c:pt idx="12">
                  <c:v>0.307145614880919</c:v>
                </c:pt>
              </c:numCache>
            </c:numRef>
          </c:val>
        </c:ser>
        <c:ser>
          <c:idx val="2"/>
          <c:order val="2"/>
          <c:tx>
            <c:strRef>
              <c:f>general!$G$3</c:f>
              <c:strCache>
                <c:ptCount val="1"/>
                <c:pt idx="0">
                  <c:v>0.8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general!$B$4:$B$16</c:f>
              <c:strCache>
                <c:ptCount val="13"/>
                <c:pt idx="0">
                  <c:v>SAREF4BLDG</c:v>
                </c:pt>
                <c:pt idx="1">
                  <c:v>SAREF4ENER</c:v>
                </c:pt>
                <c:pt idx="2">
                  <c:v>SAREF4GRID</c:v>
                </c:pt>
                <c:pt idx="3">
                  <c:v>SARGON</c:v>
                </c:pt>
                <c:pt idx="4">
                  <c:v>SBEO</c:v>
                </c:pt>
                <c:pt idx="5">
                  <c:v>EM-KPI</c:v>
                </c:pt>
                <c:pt idx="6">
                  <c:v>FSO</c:v>
                </c:pt>
                <c:pt idx="7">
                  <c:v>SSN</c:v>
                </c:pt>
                <c:pt idx="8">
                  <c:v>BIMERR-Building</c:v>
                </c:pt>
                <c:pt idx="9">
                  <c:v>BIMERR-Weather</c:v>
                </c:pt>
                <c:pt idx="10">
                  <c:v>BIMERR-Sensor</c:v>
                </c:pt>
                <c:pt idx="11">
                  <c:v>BED</c:v>
                </c:pt>
                <c:pt idx="12">
                  <c:v>OEO</c:v>
                </c:pt>
              </c:strCache>
            </c:strRef>
          </c:cat>
          <c:val>
            <c:numRef>
              <c:f>general!$G$4:$G$16</c:f>
              <c:numCache>
                <c:formatCode>General</c:formatCode>
                <c:ptCount val="13"/>
                <c:pt idx="0">
                  <c:v>0.0366365977103599</c:v>
                </c:pt>
                <c:pt idx="1">
                  <c:v>0.0168276170892229</c:v>
                </c:pt>
                <c:pt idx="2">
                  <c:v>0.016692100565045</c:v>
                </c:pt>
                <c:pt idx="3">
                  <c:v>0.0459518857418941</c:v>
                </c:pt>
                <c:pt idx="4">
                  <c:v>0.0606937267633351</c:v>
                </c:pt>
                <c:pt idx="5">
                  <c:v>0.142964040984911</c:v>
                </c:pt>
                <c:pt idx="6">
                  <c:v>0.0160616541264782</c:v>
                </c:pt>
                <c:pt idx="7">
                  <c:v>0.00589202279034415</c:v>
                </c:pt>
                <c:pt idx="8">
                  <c:v>0.0315164299055509</c:v>
                </c:pt>
                <c:pt idx="9">
                  <c:v>0.0154488837562824</c:v>
                </c:pt>
                <c:pt idx="10">
                  <c:v>0.0117840455806883</c:v>
                </c:pt>
                <c:pt idx="11">
                  <c:v>0.358447098473377</c:v>
                </c:pt>
                <c:pt idx="12">
                  <c:v>0.241083896512512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28798911"/>
        <c:axId val="150698415"/>
      </c:barChart>
      <c:catAx>
        <c:axId val="428798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50698415"/>
        <c:crosses val="autoZero"/>
        <c:auto val="1"/>
        <c:lblAlgn val="ctr"/>
        <c:lblOffset val="100"/>
        <c:noMultiLvlLbl val="0"/>
      </c:catAx>
      <c:valAx>
        <c:axId val="15069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28798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0"/>
        <c:txPr>
          <a:bodyPr rot="0" spcFirstLastPara="1" vertOverflow="ellipsis" vert="horz" wrap="square" anchor="ctr" anchorCtr="1"/>
          <a:lstStyle/>
          <a:p>
            <a:pPr>
              <a:defRPr lang="zh-CN"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1"/>
        <c:txPr>
          <a:bodyPr rot="0" spcFirstLastPara="1" vertOverflow="ellipsis" vert="horz" wrap="square" anchor="ctr" anchorCtr="1"/>
          <a:lstStyle/>
          <a:p>
            <a:pPr>
              <a:defRPr lang="zh-CN"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egendEntry>
        <c:idx val="2"/>
        <c:txPr>
          <a:bodyPr rot="0" spcFirstLastPara="1" vertOverflow="ellipsis" vert="horz" wrap="square" anchor="ctr" anchorCtr="1"/>
          <a:lstStyle/>
          <a:p>
            <a:pPr>
              <a:defRPr lang="zh-CN"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</c:legendEntry>
      <c:layout>
        <c:manualLayout>
          <c:xMode val="edge"/>
          <c:yMode val="edge"/>
          <c:x val="0.393856447688564"/>
          <c:y val="0.909849300322928"/>
          <c:w val="0.280033454987835"/>
          <c:h val="0.08005920344456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0aeb21b3-5016-4262-9d80-57be871ed63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11</xdr:col>
      <xdr:colOff>504190</xdr:colOff>
      <xdr:row>10</xdr:row>
      <xdr:rowOff>15240</xdr:rowOff>
    </xdr:from>
    <xdr:to>
      <xdr:col>23</xdr:col>
      <xdr:colOff>676312</xdr:colOff>
      <xdr:row>36</xdr:row>
      <xdr:rowOff>129923</xdr:rowOff>
    </xdr:to>
    <xdr:graphicFrame>
      <xdr:nvGraphicFramePr>
        <xdr:cNvPr id="5" name="图表 4"/>
        <xdr:cNvGraphicFramePr/>
      </xdr:nvGraphicFramePr>
      <xdr:xfrm>
        <a:off x="13112750" y="1729740"/>
        <a:ext cx="8401685" cy="4572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6"/>
  <sheetViews>
    <sheetView tabSelected="1" zoomScale="70" zoomScaleNormal="70" workbookViewId="0">
      <selection activeCell="Q42" sqref="Q42"/>
    </sheetView>
  </sheetViews>
  <sheetFormatPr defaultColWidth="9" defaultRowHeight="13.5"/>
  <cols>
    <col min="2" max="2" width="22.1083333333333" customWidth="1"/>
    <col min="3" max="3" width="17.4916666666667" customWidth="1"/>
    <col min="4" max="4" width="18.75" customWidth="1"/>
    <col min="5" max="5" width="17.675" customWidth="1"/>
    <col min="6" max="7" width="16.7833333333333" customWidth="1"/>
    <col min="8" max="10" width="12.625"/>
  </cols>
  <sheetData>
    <row r="1" spans="2:9">
      <c r="B1" s="2" t="s">
        <v>0</v>
      </c>
      <c r="C1" s="3" t="s">
        <v>1</v>
      </c>
      <c r="D1" s="4"/>
      <c r="E1" s="4"/>
      <c r="F1" s="4"/>
      <c r="G1" s="4"/>
      <c r="H1" s="4"/>
      <c r="I1" s="5"/>
    </row>
    <row r="2" spans="2:9">
      <c r="B2" s="6"/>
      <c r="C2" s="7" t="s">
        <v>2</v>
      </c>
      <c r="D2" s="8"/>
      <c r="E2" s="8"/>
      <c r="F2" s="8"/>
      <c r="G2" s="8"/>
      <c r="H2" s="8"/>
      <c r="I2" s="9"/>
    </row>
    <row r="3" spans="2:9">
      <c r="B3" s="6"/>
      <c r="C3" s="10">
        <v>0.6</v>
      </c>
      <c r="D3" s="10">
        <v>0.65</v>
      </c>
      <c r="E3" s="10">
        <v>0.7</v>
      </c>
      <c r="F3" s="10">
        <v>0.75</v>
      </c>
      <c r="G3" s="11">
        <v>0.8</v>
      </c>
      <c r="H3" s="12">
        <v>0.85</v>
      </c>
      <c r="I3" s="13">
        <v>0.9</v>
      </c>
    </row>
    <row r="4" spans="2:9">
      <c r="B4" s="14" t="s">
        <v>3</v>
      </c>
      <c r="C4" s="15">
        <f ca="1" t="shared" ref="C4:C16" si="0">B4/SUM($C$2:$C$14)</f>
        <v>0.0409178664082534</v>
      </c>
      <c r="D4" s="15">
        <f ca="1" t="shared" ref="D4:D16" si="1">C4/SUM($C$2:$C$14)</f>
        <v>0.0429347703546707</v>
      </c>
      <c r="E4" s="15">
        <f ca="1" t="shared" ref="E4:E16" si="2">D4/SUM($C$2:$C$14)</f>
        <v>0.0464490898229587</v>
      </c>
      <c r="F4" s="15">
        <f ca="1" t="shared" ref="F4:F16" si="3">E4/SUM($C$2:$C$14)</f>
        <v>0.0459762606235996</v>
      </c>
      <c r="G4" s="15">
        <f ca="1" t="shared" ref="G4:G16" si="4">F4/SUM($C$2:$C$14)</f>
        <v>0.0366365977103599</v>
      </c>
      <c r="H4" s="15">
        <f ca="1" t="shared" ref="H4:H16" si="5">G4/SUM($C$2:$C$14)</f>
        <v>0.0476146201367797</v>
      </c>
      <c r="I4" s="16">
        <f ca="1" t="shared" ref="I4:I16" si="6">H4/SUM($C$2:$C$14)</f>
        <v>0.0409106715486735</v>
      </c>
    </row>
    <row r="5" spans="2:9">
      <c r="B5" s="14" t="s">
        <v>4</v>
      </c>
      <c r="C5" s="15">
        <f ca="1" t="shared" si="0"/>
        <v>0.0140149252097543</v>
      </c>
      <c r="D5" s="15">
        <f ca="1" t="shared" si="1"/>
        <v>0.0175227165114654</v>
      </c>
      <c r="E5" s="15">
        <f ca="1" t="shared" si="2"/>
        <v>0.0182438778901026</v>
      </c>
      <c r="F5" s="15">
        <f ca="1" t="shared" si="3"/>
        <v>0.0169095695686541</v>
      </c>
      <c r="G5" s="15">
        <f ca="1" t="shared" si="4"/>
        <v>0.0168276170892229</v>
      </c>
      <c r="H5" s="15">
        <f ca="1" t="shared" si="5"/>
        <v>0.029504741833509</v>
      </c>
      <c r="I5" s="16">
        <f ca="1" t="shared" si="6"/>
        <v>0.0409106715486735</v>
      </c>
    </row>
    <row r="6" spans="2:9">
      <c r="B6" s="14" t="s">
        <v>5</v>
      </c>
      <c r="C6" s="15">
        <f ca="1" t="shared" si="0"/>
        <v>0.0263135607623575</v>
      </c>
      <c r="D6" s="15">
        <f ca="1" t="shared" si="1"/>
        <v>0.0242734098441974</v>
      </c>
      <c r="E6" s="15">
        <f ca="1" t="shared" si="2"/>
        <v>0.0221815436802385</v>
      </c>
      <c r="F6" s="15">
        <f ca="1" t="shared" si="3"/>
        <v>0.0117096401204607</v>
      </c>
      <c r="G6" s="15">
        <f ca="1" t="shared" si="4"/>
        <v>0.016692100565045</v>
      </c>
      <c r="H6" s="15">
        <f ca="1" t="shared" si="5"/>
        <v>0.0206615839170231</v>
      </c>
      <c r="I6" s="16">
        <f ca="1" t="shared" si="6"/>
        <v>0.0409106715486735</v>
      </c>
    </row>
    <row r="7" spans="2:9">
      <c r="B7" s="14" t="s">
        <v>6</v>
      </c>
      <c r="C7" s="15">
        <f ca="1" t="shared" si="0"/>
        <v>0.0638409053067861</v>
      </c>
      <c r="D7" s="15">
        <f ca="1" t="shared" si="1"/>
        <v>0.0595307884827851</v>
      </c>
      <c r="E7" s="15">
        <f ca="1" t="shared" si="2"/>
        <v>0.0550908256228715</v>
      </c>
      <c r="F7" s="15">
        <f ca="1" t="shared" si="3"/>
        <v>0.053482188935125</v>
      </c>
      <c r="G7" s="15">
        <f ca="1" t="shared" si="4"/>
        <v>0.0459518857418941</v>
      </c>
      <c r="H7" s="15">
        <f ca="1" t="shared" si="5"/>
        <v>0.0381102915349491</v>
      </c>
      <c r="I7" s="16">
        <f ca="1" t="shared" si="6"/>
        <v>0.0394992533802442</v>
      </c>
    </row>
    <row r="8" spans="2:9">
      <c r="B8" s="14" t="s">
        <v>7</v>
      </c>
      <c r="C8" s="15">
        <f ca="1" t="shared" si="0"/>
        <v>0.0572551694655996</v>
      </c>
      <c r="D8" s="15">
        <f ca="1" t="shared" si="1"/>
        <v>0.0608712317647855</v>
      </c>
      <c r="E8" s="15">
        <f ca="1" t="shared" si="2"/>
        <v>0.0625819946870324</v>
      </c>
      <c r="F8" s="15">
        <f ca="1" t="shared" si="3"/>
        <v>0.0641204868074654</v>
      </c>
      <c r="G8" s="15">
        <f ca="1" t="shared" si="4"/>
        <v>0.0606937267633351</v>
      </c>
      <c r="H8" s="15">
        <f ca="1" t="shared" si="5"/>
        <v>0.0476559433046137</v>
      </c>
      <c r="I8" s="16">
        <f ca="1" t="shared" si="6"/>
        <v>0.0409106715486735</v>
      </c>
    </row>
    <row r="9" spans="2:9">
      <c r="B9" s="14" t="s">
        <v>8</v>
      </c>
      <c r="C9" s="15">
        <f ca="1" t="shared" si="0"/>
        <v>0.072393547119612</v>
      </c>
      <c r="D9" s="15">
        <f ca="1" t="shared" si="1"/>
        <v>0.0819744763364975</v>
      </c>
      <c r="E9" s="15">
        <f ca="1" t="shared" si="2"/>
        <v>0.103568293530895</v>
      </c>
      <c r="F9" s="15">
        <f ca="1" t="shared" si="3"/>
        <v>0.116946151986883</v>
      </c>
      <c r="G9" s="15">
        <f ca="1" t="shared" si="4"/>
        <v>0.142964040984911</v>
      </c>
      <c r="H9" s="15">
        <f ca="1" t="shared" si="5"/>
        <v>0.131862228558441</v>
      </c>
      <c r="I9" s="16">
        <f ca="1" t="shared" si="6"/>
        <v>0.100578886002414</v>
      </c>
    </row>
    <row r="10" spans="2:9">
      <c r="B10" s="14" t="s">
        <v>9</v>
      </c>
      <c r="C10" s="15">
        <f ca="1" t="shared" si="0"/>
        <v>0.0098114846798535</v>
      </c>
      <c r="D10" s="15">
        <f ca="1" t="shared" si="1"/>
        <v>0.0128937340758946</v>
      </c>
      <c r="E10" s="15">
        <f ca="1" t="shared" si="2"/>
        <v>0.0155240072760381</v>
      </c>
      <c r="F10" s="15">
        <f ca="1" t="shared" si="3"/>
        <v>0.0217371422598789</v>
      </c>
      <c r="G10" s="15">
        <f ca="1" t="shared" si="4"/>
        <v>0.0160616541264782</v>
      </c>
      <c r="H10" s="15">
        <f ca="1" t="shared" si="5"/>
        <v>0.0197628050166326</v>
      </c>
      <c r="I10" s="16">
        <f ca="1" t="shared" si="6"/>
        <v>0.0391310573363062</v>
      </c>
    </row>
    <row r="11" spans="2:9">
      <c r="B11" s="14" t="s">
        <v>10</v>
      </c>
      <c r="C11" s="15">
        <f ca="1" t="shared" si="0"/>
        <v>0.00761931208990385</v>
      </c>
      <c r="D11" s="15">
        <f ca="1" t="shared" si="1"/>
        <v>0.00579468332168384</v>
      </c>
      <c r="E11" s="15">
        <f ca="1" t="shared" si="2"/>
        <v>0.00329995601339191</v>
      </c>
      <c r="F11" s="15">
        <f ca="1" t="shared" si="3"/>
        <v>0.00326628734183004</v>
      </c>
      <c r="G11" s="15">
        <f ca="1" t="shared" si="4"/>
        <v>0.00589202279034415</v>
      </c>
      <c r="H11" s="15">
        <f ca="1" t="shared" si="5"/>
        <v>0.0103307919585115</v>
      </c>
      <c r="I11" s="16">
        <f ca="1" t="shared" si="6"/>
        <v>0.0204553357743367</v>
      </c>
    </row>
    <row r="12" spans="2:9">
      <c r="B12" s="14" t="s">
        <v>11</v>
      </c>
      <c r="C12" s="15">
        <f ca="1" t="shared" si="0"/>
        <v>0.0309387280559491</v>
      </c>
      <c r="D12" s="15">
        <f ca="1" t="shared" si="1"/>
        <v>0.0338492931388244</v>
      </c>
      <c r="E12" s="15">
        <f ca="1" t="shared" si="2"/>
        <v>0.0346898752048066</v>
      </c>
      <c r="F12" s="15">
        <f ca="1" t="shared" si="3"/>
        <v>0.0353281638892337</v>
      </c>
      <c r="G12" s="15">
        <f ca="1" t="shared" si="4"/>
        <v>0.0315164299055509</v>
      </c>
      <c r="H12" s="15">
        <f ca="1" t="shared" si="5"/>
        <v>0.0386474927167917</v>
      </c>
      <c r="I12" s="16">
        <f ca="1" t="shared" si="6"/>
        <v>0.0409106715486735</v>
      </c>
    </row>
    <row r="13" spans="2:9">
      <c r="B13" s="14" t="s">
        <v>12</v>
      </c>
      <c r="C13" s="15">
        <f ca="1" t="shared" si="0"/>
        <v>0.0160895673901508</v>
      </c>
      <c r="D13" s="15">
        <f ca="1" t="shared" si="1"/>
        <v>0.0161642353047282</v>
      </c>
      <c r="E13" s="15">
        <f ca="1" t="shared" si="2"/>
        <v>0.0135359662551646</v>
      </c>
      <c r="F13" s="15">
        <f ca="1" t="shared" si="3"/>
        <v>0.013509364445809</v>
      </c>
      <c r="G13" s="15">
        <f ca="1" t="shared" si="4"/>
        <v>0.0154488837562824</v>
      </c>
      <c r="H13" s="15">
        <f ca="1" t="shared" si="5"/>
        <v>0.0103307919585115</v>
      </c>
      <c r="I13" s="16">
        <f ca="1" t="shared" si="6"/>
        <v>0.0204553357743367</v>
      </c>
    </row>
    <row r="14" spans="2:9">
      <c r="B14" s="14" t="s">
        <v>13</v>
      </c>
      <c r="C14" s="15">
        <f ca="1" t="shared" si="0"/>
        <v>0.00967551812762535</v>
      </c>
      <c r="D14" s="15">
        <f ca="1" t="shared" si="1"/>
        <v>0.00920610583752339</v>
      </c>
      <c r="E14" s="15">
        <f ca="1" t="shared" si="2"/>
        <v>0.00939277351890944</v>
      </c>
      <c r="F14" s="15">
        <f ca="1" t="shared" si="3"/>
        <v>0.00653257468366007</v>
      </c>
      <c r="G14" s="15">
        <f ca="1" t="shared" si="4"/>
        <v>0.0117840455806883</v>
      </c>
      <c r="H14" s="15">
        <f ca="1" t="shared" si="5"/>
        <v>0.0206615839170231</v>
      </c>
      <c r="I14" s="16">
        <f ca="1" t="shared" si="6"/>
        <v>0.0409106715486735</v>
      </c>
    </row>
    <row r="15" spans="2:9">
      <c r="B15" s="14" t="s">
        <v>14</v>
      </c>
      <c r="C15" s="15">
        <f ca="1" t="shared" si="0"/>
        <v>0.270412122685616</v>
      </c>
      <c r="D15" s="15">
        <f ca="1" t="shared" si="1"/>
        <v>0.281278888863836</v>
      </c>
      <c r="E15" s="15">
        <f ca="1" t="shared" si="2"/>
        <v>0.308296181616671</v>
      </c>
      <c r="F15" s="15">
        <f ca="1" t="shared" si="3"/>
        <v>0.333131912280587</v>
      </c>
      <c r="G15" s="15">
        <f ca="1" t="shared" si="4"/>
        <v>0.358447098473377</v>
      </c>
      <c r="H15" s="15">
        <f ca="1" t="shared" si="5"/>
        <v>0.331928345626976</v>
      </c>
      <c r="I15" s="16">
        <f ca="1" t="shared" si="6"/>
        <v>0.301143453269785</v>
      </c>
    </row>
    <row r="16" spans="2:9">
      <c r="B16" s="17" t="s">
        <v>15</v>
      </c>
      <c r="C16" s="18">
        <f ca="1" t="shared" si="0"/>
        <v>0.380717292698538</v>
      </c>
      <c r="D16" s="18">
        <f ca="1" t="shared" si="1"/>
        <v>0.353705666163108</v>
      </c>
      <c r="E16" s="18">
        <f ca="1" t="shared" si="2"/>
        <v>0.307145614880919</v>
      </c>
      <c r="F16" s="18">
        <f ca="1" t="shared" si="3"/>
        <v>0.277350257056814</v>
      </c>
      <c r="G16" s="18">
        <f ca="1" t="shared" si="4"/>
        <v>0.241083896512512</v>
      </c>
      <c r="H16" s="18">
        <f ca="1" t="shared" si="5"/>
        <v>0.252928779520238</v>
      </c>
      <c r="I16" s="19">
        <f ca="1" t="shared" si="6"/>
        <v>0.233272649170536</v>
      </c>
    </row>
  </sheetData>
  <mergeCells count="3">
    <mergeCell ref="C1:I1"/>
    <mergeCell ref="C2:I2"/>
    <mergeCell ref="B1:B3"/>
  </mergeCells>
  <pageMargins left="0.7" right="0.7" top="0.75" bottom="0.75" header="0.3" footer="0.3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16" sqref="C16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125.004</v>
      </c>
      <c r="D2">
        <f>C2/$C$15</f>
        <v>0.0898525243798038</v>
      </c>
    </row>
    <row r="3" spans="1:4">
      <c r="A3" s="1">
        <v>1</v>
      </c>
      <c r="B3" t="s">
        <v>4</v>
      </c>
      <c r="C3">
        <v>48.67</v>
      </c>
      <c r="D3">
        <f t="shared" ref="D3:D14" si="0">C3/$C$15</f>
        <v>0.0349838594090193</v>
      </c>
    </row>
    <row r="4" spans="1:4">
      <c r="A4" s="1">
        <v>2</v>
      </c>
      <c r="B4" t="s">
        <v>6</v>
      </c>
      <c r="C4">
        <v>293.763</v>
      </c>
      <c r="D4">
        <f t="shared" si="0"/>
        <v>0.211156019962436</v>
      </c>
    </row>
    <row r="5" spans="1:4">
      <c r="A5" s="1">
        <v>3</v>
      </c>
      <c r="B5" t="s">
        <v>17</v>
      </c>
      <c r="C5">
        <v>15.784</v>
      </c>
      <c r="D5">
        <f t="shared" si="0"/>
        <v>0.0113454949026497</v>
      </c>
    </row>
    <row r="6" spans="1:4">
      <c r="A6" s="1">
        <v>4</v>
      </c>
      <c r="B6" t="s">
        <v>18</v>
      </c>
      <c r="C6">
        <v>13.168</v>
      </c>
      <c r="D6">
        <f t="shared" si="0"/>
        <v>0.00946512144437983</v>
      </c>
    </row>
    <row r="7" spans="1:4">
      <c r="A7" s="1">
        <v>5</v>
      </c>
      <c r="B7" t="s">
        <v>7</v>
      </c>
      <c r="C7">
        <v>281.196</v>
      </c>
      <c r="D7">
        <f t="shared" si="0"/>
        <v>0.202122895631366</v>
      </c>
    </row>
    <row r="8" spans="1:4">
      <c r="A8" s="1">
        <v>6</v>
      </c>
      <c r="B8" t="s">
        <v>19</v>
      </c>
      <c r="C8">
        <v>112.937</v>
      </c>
      <c r="D8">
        <f t="shared" si="0"/>
        <v>0.0811787986454986</v>
      </c>
    </row>
    <row r="9" spans="1:4">
      <c r="A9" s="1">
        <v>7</v>
      </c>
      <c r="B9" t="s">
        <v>8</v>
      </c>
      <c r="C9">
        <v>257.367</v>
      </c>
      <c r="D9">
        <f t="shared" si="0"/>
        <v>0.184994677306782</v>
      </c>
    </row>
    <row r="10" spans="1:4">
      <c r="A10" s="1">
        <v>8</v>
      </c>
      <c r="B10" t="s">
        <v>9</v>
      </c>
      <c r="C10">
        <v>38.344</v>
      </c>
      <c r="D10">
        <f t="shared" si="0"/>
        <v>0.0275615595886467</v>
      </c>
    </row>
    <row r="11" spans="1:4">
      <c r="A11" s="1">
        <v>9</v>
      </c>
      <c r="B11" t="s">
        <v>20</v>
      </c>
      <c r="C11">
        <v>126.375</v>
      </c>
      <c r="D11">
        <f t="shared" si="0"/>
        <v>0.090837995332131</v>
      </c>
    </row>
    <row r="12" spans="1:4">
      <c r="A12" s="1">
        <v>10</v>
      </c>
      <c r="B12" t="s">
        <v>10</v>
      </c>
      <c r="C12">
        <v>31.647</v>
      </c>
      <c r="D12">
        <f t="shared" si="0"/>
        <v>0.0227477747835881</v>
      </c>
    </row>
    <row r="13" spans="1:4">
      <c r="A13" s="1">
        <v>11</v>
      </c>
      <c r="B13" t="s">
        <v>21</v>
      </c>
      <c r="C13">
        <v>25.367</v>
      </c>
      <c r="D13">
        <f t="shared" si="0"/>
        <v>0.0182337284082308</v>
      </c>
    </row>
    <row r="14" spans="1:4">
      <c r="A14" s="1">
        <v>12</v>
      </c>
      <c r="B14" t="s">
        <v>22</v>
      </c>
      <c r="C14">
        <v>21.591</v>
      </c>
      <c r="D14">
        <f t="shared" si="0"/>
        <v>0.0155195502054682</v>
      </c>
    </row>
    <row r="15" spans="1:4">
      <c r="A15" t="s">
        <v>23</v>
      </c>
      <c r="C15">
        <f>SUM(C2:C14)</f>
        <v>1391.213</v>
      </c>
    </row>
    <row r="16" spans="1:4">
      <c r="A16" t="s">
        <v>24</v>
      </c>
      <c r="C16" t="str">
        <f ca="1">MID(CELL("filename",A1),FIND("]",CELL("filename",A1))+1,255)</f>
        <v>0.6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I16" sqref="I16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106.106</v>
      </c>
      <c r="D2">
        <f>C2/C$15</f>
        <v>0.0902428424292578</v>
      </c>
    </row>
    <row r="3" spans="1:4">
      <c r="A3" s="1">
        <v>1</v>
      </c>
      <c r="B3" t="s">
        <v>4</v>
      </c>
      <c r="C3">
        <v>40.132</v>
      </c>
      <c r="D3">
        <f t="shared" ref="D3:D14" si="0">C3/C$15</f>
        <v>0.0341321485342108</v>
      </c>
    </row>
    <row r="4" spans="1:4">
      <c r="A4" s="1">
        <v>2</v>
      </c>
      <c r="B4" t="s">
        <v>6</v>
      </c>
      <c r="C4">
        <v>243.663</v>
      </c>
      <c r="D4">
        <f t="shared" si="0"/>
        <v>0.207234668301889</v>
      </c>
    </row>
    <row r="5" spans="1:4">
      <c r="A5" s="1">
        <v>3</v>
      </c>
      <c r="B5" t="s">
        <v>17</v>
      </c>
      <c r="C5">
        <v>12.127</v>
      </c>
      <c r="D5">
        <f t="shared" si="0"/>
        <v>0.0103139780044447</v>
      </c>
    </row>
    <row r="6" spans="1:4">
      <c r="A6" s="1">
        <v>4</v>
      </c>
      <c r="B6" t="s">
        <v>18</v>
      </c>
      <c r="C6">
        <v>12.561</v>
      </c>
      <c r="D6">
        <f t="shared" si="0"/>
        <v>0.0106830937341329</v>
      </c>
    </row>
    <row r="7" spans="1:4">
      <c r="A7" s="1">
        <v>5</v>
      </c>
      <c r="B7" t="s">
        <v>7</v>
      </c>
      <c r="C7">
        <v>233.551</v>
      </c>
      <c r="D7">
        <f t="shared" si="0"/>
        <v>0.198634441899568</v>
      </c>
    </row>
    <row r="8" spans="1:4">
      <c r="A8" s="1">
        <v>6</v>
      </c>
      <c r="B8" t="s">
        <v>19</v>
      </c>
      <c r="C8">
        <v>99.531</v>
      </c>
      <c r="D8">
        <f t="shared" si="0"/>
        <v>0.0846508241741886</v>
      </c>
    </row>
    <row r="9" spans="1:4">
      <c r="A9" s="1">
        <v>7</v>
      </c>
      <c r="B9" t="s">
        <v>8</v>
      </c>
      <c r="C9">
        <v>217.13</v>
      </c>
      <c r="D9">
        <f t="shared" si="0"/>
        <v>0.1846684294636</v>
      </c>
    </row>
    <row r="10" spans="1:4">
      <c r="A10" s="1">
        <v>8</v>
      </c>
      <c r="B10" t="s">
        <v>9</v>
      </c>
      <c r="C10">
        <v>33.455</v>
      </c>
      <c r="D10">
        <f t="shared" si="0"/>
        <v>0.0284533795776942</v>
      </c>
    </row>
    <row r="11" spans="1:4">
      <c r="A11" s="1">
        <v>9</v>
      </c>
      <c r="B11" t="s">
        <v>20</v>
      </c>
      <c r="C11">
        <v>108.689</v>
      </c>
      <c r="D11">
        <f t="shared" si="0"/>
        <v>0.0924396763688538</v>
      </c>
    </row>
    <row r="12" spans="1:4">
      <c r="A12" s="1">
        <v>10</v>
      </c>
      <c r="B12" t="s">
        <v>10</v>
      </c>
      <c r="C12">
        <v>27.377</v>
      </c>
      <c r="D12">
        <f t="shared" si="0"/>
        <v>0.0232840583679131</v>
      </c>
    </row>
    <row r="13" spans="1:4">
      <c r="A13" s="1">
        <v>11</v>
      </c>
      <c r="B13" t="s">
        <v>21</v>
      </c>
      <c r="C13">
        <v>21.104</v>
      </c>
      <c r="D13">
        <f t="shared" si="0"/>
        <v>0.0179488902288943</v>
      </c>
    </row>
    <row r="14" spans="1:4">
      <c r="A14" s="1">
        <v>12</v>
      </c>
      <c r="B14" t="s">
        <v>22</v>
      </c>
      <c r="C14">
        <v>20.357</v>
      </c>
      <c r="D14">
        <f t="shared" si="0"/>
        <v>0.0173135689153526</v>
      </c>
    </row>
    <row r="15" spans="1:4">
      <c r="A15" t="s">
        <v>23</v>
      </c>
      <c r="C15">
        <f>SUM(C2:C14)</f>
        <v>1175.783</v>
      </c>
    </row>
    <row r="16" spans="1:4">
      <c r="A16" t="s">
        <v>24</v>
      </c>
      <c r="C16" t="str">
        <f ca="1">MID(CELL("filename",A1),FIND("]",CELL("filename",A1))+1,255)</f>
        <v>0.62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84.081</v>
      </c>
      <c r="D2">
        <f>C2/C$15</f>
        <v>0.0912048265957401</v>
      </c>
    </row>
    <row r="3" spans="1:4">
      <c r="A3" s="1">
        <v>1</v>
      </c>
      <c r="B3" t="s">
        <v>4</v>
      </c>
      <c r="C3">
        <v>30.68</v>
      </c>
      <c r="D3">
        <f t="shared" ref="D3:D14" si="0">C3/C$15</f>
        <v>0.0332793863055542</v>
      </c>
    </row>
    <row r="4" spans="1:4">
      <c r="A4" s="1">
        <v>2</v>
      </c>
      <c r="B4" t="s">
        <v>6</v>
      </c>
      <c r="C4">
        <v>197.019</v>
      </c>
      <c r="D4">
        <f t="shared" si="0"/>
        <v>0.213711584437223</v>
      </c>
    </row>
    <row r="5" spans="1:4">
      <c r="A5" s="1">
        <v>3</v>
      </c>
      <c r="B5" t="s">
        <v>17</v>
      </c>
      <c r="C5">
        <v>9.581</v>
      </c>
      <c r="D5">
        <f t="shared" si="0"/>
        <v>0.0103927575030481</v>
      </c>
    </row>
    <row r="6" spans="1:4">
      <c r="A6" s="1">
        <v>4</v>
      </c>
      <c r="B6" t="s">
        <v>18</v>
      </c>
      <c r="C6">
        <v>11.304</v>
      </c>
      <c r="D6">
        <f t="shared" si="0"/>
        <v>0.0122617399868965</v>
      </c>
    </row>
    <row r="7" spans="1:4">
      <c r="A7" s="1">
        <v>5</v>
      </c>
      <c r="B7" t="s">
        <v>7</v>
      </c>
      <c r="C7">
        <v>183.698</v>
      </c>
      <c r="D7">
        <f t="shared" si="0"/>
        <v>0.199261952593145</v>
      </c>
    </row>
    <row r="8" spans="1:4">
      <c r="A8" s="1">
        <v>6</v>
      </c>
      <c r="B8" t="s">
        <v>19</v>
      </c>
      <c r="C8">
        <v>80.616</v>
      </c>
      <c r="D8">
        <f t="shared" si="0"/>
        <v>0.0874462518386102</v>
      </c>
    </row>
    <row r="9" spans="1:4">
      <c r="A9" s="1">
        <v>7</v>
      </c>
      <c r="B9" t="s">
        <v>8</v>
      </c>
      <c r="C9">
        <v>168.086</v>
      </c>
      <c r="D9">
        <f t="shared" si="0"/>
        <v>0.182327214033748</v>
      </c>
    </row>
    <row r="10" spans="1:4">
      <c r="A10" s="1">
        <v>8</v>
      </c>
      <c r="B10" t="s">
        <v>9</v>
      </c>
      <c r="C10">
        <v>23.388</v>
      </c>
      <c r="D10">
        <f t="shared" si="0"/>
        <v>0.0253695660663071</v>
      </c>
    </row>
    <row r="11" spans="1:4">
      <c r="A11" s="1">
        <v>9</v>
      </c>
      <c r="B11" t="s">
        <v>20</v>
      </c>
      <c r="C11">
        <v>83.517</v>
      </c>
      <c r="D11">
        <f t="shared" si="0"/>
        <v>0.0905930412673068</v>
      </c>
    </row>
    <row r="12" spans="1:4">
      <c r="A12" s="1">
        <v>10</v>
      </c>
      <c r="B12" t="s">
        <v>10</v>
      </c>
      <c r="C12">
        <v>19.831</v>
      </c>
      <c r="D12">
        <f t="shared" si="0"/>
        <v>0.0215111965392909</v>
      </c>
    </row>
    <row r="13" spans="1:4">
      <c r="A13" s="1">
        <v>11</v>
      </c>
      <c r="B13" t="s">
        <v>21</v>
      </c>
      <c r="C13">
        <v>13.515</v>
      </c>
      <c r="D13">
        <f t="shared" si="0"/>
        <v>0.0146600686414461</v>
      </c>
    </row>
    <row r="14" spans="1:4">
      <c r="A14" s="1">
        <v>12</v>
      </c>
      <c r="B14" t="s">
        <v>22</v>
      </c>
      <c r="C14">
        <v>16.576</v>
      </c>
      <c r="D14">
        <f t="shared" si="0"/>
        <v>0.0179804141916841</v>
      </c>
    </row>
    <row r="15" spans="1:4">
      <c r="A15" t="s">
        <v>23</v>
      </c>
      <c r="C15">
        <f>SUM(C2:C14)</f>
        <v>921.892</v>
      </c>
    </row>
    <row r="16" spans="1:4">
      <c r="A16" t="s">
        <v>24</v>
      </c>
      <c r="C16" t="str">
        <f ca="1">MID(CELL("filename",A1),FIND("]",CELL("filename",A1))+1,255)</f>
        <v>0.64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H9" sqref="H9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61.983</v>
      </c>
      <c r="D2">
        <f>C2/C$15</f>
        <v>0.0876935091834627</v>
      </c>
    </row>
    <row r="3" spans="1:4">
      <c r="A3" s="1">
        <v>1</v>
      </c>
      <c r="B3" t="s">
        <v>4</v>
      </c>
      <c r="C3">
        <v>23.576</v>
      </c>
      <c r="D3">
        <f t="shared" ref="D3:D14" si="0">C3/C$15</f>
        <v>0.0333553098835054</v>
      </c>
    </row>
    <row r="4" spans="1:4">
      <c r="A4" s="1">
        <v>2</v>
      </c>
      <c r="B4" t="s">
        <v>6</v>
      </c>
      <c r="C4">
        <v>149.616</v>
      </c>
      <c r="D4">
        <f t="shared" si="0"/>
        <v>0.211676622138215</v>
      </c>
    </row>
    <row r="5" spans="1:4">
      <c r="A5" s="1">
        <v>3</v>
      </c>
      <c r="B5" t="s">
        <v>17</v>
      </c>
      <c r="C5">
        <v>6.962</v>
      </c>
      <c r="D5">
        <f t="shared" si="0"/>
        <v>0.00984983319515459</v>
      </c>
    </row>
    <row r="6" spans="1:4">
      <c r="A6" s="1">
        <v>4</v>
      </c>
      <c r="B6" t="s">
        <v>18</v>
      </c>
      <c r="C6">
        <v>10.002</v>
      </c>
      <c r="D6">
        <f t="shared" si="0"/>
        <v>0.0141508232717518</v>
      </c>
    </row>
    <row r="7" spans="1:4">
      <c r="A7" s="1">
        <v>5</v>
      </c>
      <c r="B7" t="s">
        <v>7</v>
      </c>
      <c r="C7">
        <v>142.769</v>
      </c>
      <c r="D7">
        <f t="shared" si="0"/>
        <v>0.2019894908703</v>
      </c>
    </row>
    <row r="8" spans="1:4">
      <c r="A8" s="1">
        <v>6</v>
      </c>
      <c r="B8" t="s">
        <v>19</v>
      </c>
      <c r="C8">
        <v>63.701</v>
      </c>
      <c r="D8">
        <f t="shared" si="0"/>
        <v>0.090124134496487</v>
      </c>
    </row>
    <row r="9" spans="1:4">
      <c r="A9" s="1">
        <v>7</v>
      </c>
      <c r="B9" t="s">
        <v>8</v>
      </c>
      <c r="C9">
        <v>128.461</v>
      </c>
      <c r="D9">
        <f t="shared" si="0"/>
        <v>0.181746541522947</v>
      </c>
    </row>
    <row r="10" spans="1:4">
      <c r="A10" s="1">
        <v>8</v>
      </c>
      <c r="B10" t="s">
        <v>9</v>
      </c>
      <c r="C10">
        <v>16.239</v>
      </c>
      <c r="D10">
        <f t="shared" si="0"/>
        <v>0.0229749269256127</v>
      </c>
    </row>
    <row r="11" spans="1:4">
      <c r="A11" s="1">
        <v>9</v>
      </c>
      <c r="B11" t="s">
        <v>20</v>
      </c>
      <c r="C11">
        <v>66.604</v>
      </c>
      <c r="D11">
        <f t="shared" si="0"/>
        <v>0.0942312970597639</v>
      </c>
    </row>
    <row r="12" spans="1:4">
      <c r="A12" s="1">
        <v>10</v>
      </c>
      <c r="B12" t="s">
        <v>10</v>
      </c>
      <c r="C12">
        <v>13.985</v>
      </c>
      <c r="D12">
        <f t="shared" si="0"/>
        <v>0.0197859691517146</v>
      </c>
    </row>
    <row r="13" spans="1:4">
      <c r="A13" s="1">
        <v>11</v>
      </c>
      <c r="B13" t="s">
        <v>21</v>
      </c>
      <c r="C13">
        <v>8.957</v>
      </c>
      <c r="D13">
        <f t="shared" si="0"/>
        <v>0.0126723579329215</v>
      </c>
    </row>
    <row r="14" spans="1:4">
      <c r="A14" s="1">
        <v>12</v>
      </c>
      <c r="B14" t="s">
        <v>22</v>
      </c>
      <c r="C14">
        <v>13.959</v>
      </c>
      <c r="D14">
        <f t="shared" si="0"/>
        <v>0.0197491843681647</v>
      </c>
    </row>
    <row r="15" spans="1:4">
      <c r="A15" t="s">
        <v>23</v>
      </c>
      <c r="C15">
        <f>SUM(C2:C14)</f>
        <v>706.814</v>
      </c>
    </row>
    <row r="16" spans="1:4">
      <c r="A16" t="s">
        <v>24</v>
      </c>
      <c r="C16" t="str">
        <f ca="1">MID(CELL("filename",A1),FIND("]",CELL("filename",A1))+1,255)</f>
        <v>0.66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51.925</v>
      </c>
      <c r="D2">
        <f>C2/C$15</f>
        <v>0.0951999427975308</v>
      </c>
    </row>
    <row r="3" spans="1:4">
      <c r="A3" s="1">
        <v>1</v>
      </c>
      <c r="B3" t="s">
        <v>4</v>
      </c>
      <c r="C3">
        <v>17.539</v>
      </c>
      <c r="D3">
        <f t="shared" ref="D3:D14" si="0">C3/C$15</f>
        <v>0.0321562214102242</v>
      </c>
    </row>
    <row r="4" spans="1:4">
      <c r="A4" s="1">
        <v>2</v>
      </c>
      <c r="B4" t="s">
        <v>6</v>
      </c>
      <c r="C4">
        <v>110.741</v>
      </c>
      <c r="D4">
        <f t="shared" si="0"/>
        <v>0.203033930964687</v>
      </c>
    </row>
    <row r="5" spans="1:4">
      <c r="A5" s="1">
        <v>3</v>
      </c>
      <c r="B5" t="s">
        <v>17</v>
      </c>
      <c r="C5">
        <v>4.969</v>
      </c>
      <c r="D5">
        <f t="shared" si="0"/>
        <v>0.00911022659144787</v>
      </c>
    </row>
    <row r="6" spans="1:4">
      <c r="A6" s="1">
        <v>4</v>
      </c>
      <c r="B6" t="s">
        <v>18</v>
      </c>
      <c r="C6">
        <v>7.321</v>
      </c>
      <c r="D6">
        <f t="shared" si="0"/>
        <v>0.0134224127341497</v>
      </c>
    </row>
    <row r="7" spans="1:4">
      <c r="A7" s="1">
        <v>5</v>
      </c>
      <c r="B7" t="s">
        <v>7</v>
      </c>
      <c r="C7">
        <v>107.925</v>
      </c>
      <c r="D7">
        <f t="shared" si="0"/>
        <v>0.197871041433289</v>
      </c>
    </row>
    <row r="8" spans="1:4">
      <c r="A8" s="1">
        <v>6</v>
      </c>
      <c r="B8" t="s">
        <v>19</v>
      </c>
      <c r="C8">
        <v>48.311</v>
      </c>
      <c r="D8">
        <f t="shared" si="0"/>
        <v>0.0885739901105731</v>
      </c>
    </row>
    <row r="9" spans="1:4">
      <c r="A9" s="1">
        <v>7</v>
      </c>
      <c r="B9" t="s">
        <v>8</v>
      </c>
      <c r="C9">
        <v>104.355</v>
      </c>
      <c r="D9">
        <f t="shared" si="0"/>
        <v>0.191325758895259</v>
      </c>
    </row>
    <row r="10" spans="1:4">
      <c r="A10" s="1">
        <v>8</v>
      </c>
      <c r="B10" t="s">
        <v>9</v>
      </c>
      <c r="C10">
        <v>13.558</v>
      </c>
      <c r="D10">
        <f t="shared" si="0"/>
        <v>0.0248574063447072</v>
      </c>
    </row>
    <row r="11" spans="1:4">
      <c r="A11" s="1">
        <v>9</v>
      </c>
      <c r="B11" t="s">
        <v>20</v>
      </c>
      <c r="C11">
        <v>52.574</v>
      </c>
      <c r="D11">
        <f t="shared" si="0"/>
        <v>0.0963898274942202</v>
      </c>
    </row>
    <row r="12" spans="1:4">
      <c r="A12" s="1">
        <v>10</v>
      </c>
      <c r="B12" t="s">
        <v>10</v>
      </c>
      <c r="C12">
        <v>9.309</v>
      </c>
      <c r="D12">
        <f t="shared" si="0"/>
        <v>0.0170672367357191</v>
      </c>
    </row>
    <row r="13" spans="1:4">
      <c r="A13" s="1">
        <v>11</v>
      </c>
      <c r="B13" t="s">
        <v>21</v>
      </c>
      <c r="C13">
        <v>5.621</v>
      </c>
      <c r="D13">
        <f t="shared" si="0"/>
        <v>0.0103056115255642</v>
      </c>
    </row>
    <row r="14" spans="1:4">
      <c r="A14" s="1">
        <v>12</v>
      </c>
      <c r="B14" t="s">
        <v>22</v>
      </c>
      <c r="C14">
        <v>11.283</v>
      </c>
      <c r="D14">
        <f t="shared" si="0"/>
        <v>0.0206863929626296</v>
      </c>
    </row>
    <row r="15" spans="1:4">
      <c r="A15" t="s">
        <v>23</v>
      </c>
      <c r="C15">
        <f>SUM(C2:C14)</f>
        <v>545.431</v>
      </c>
    </row>
    <row r="16" spans="1:4">
      <c r="A16" t="s">
        <v>24</v>
      </c>
      <c r="C16" t="str">
        <f ca="1">MID(CELL("filename",A1),FIND("]",CELL("filename",A1))+1,255)</f>
        <v>0.68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C4" sqref="C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42.987</v>
      </c>
      <c r="D2">
        <f>C2/C$15</f>
        <v>0.0992434439116512</v>
      </c>
    </row>
    <row r="3" spans="1:4">
      <c r="A3" s="1">
        <v>1</v>
      </c>
      <c r="B3" t="s">
        <v>4</v>
      </c>
      <c r="C3">
        <v>16.158</v>
      </c>
      <c r="D3">
        <f t="shared" ref="D3:D14" si="0">C3/C$15</f>
        <v>0.0373037329128448</v>
      </c>
    </row>
    <row r="4" spans="1:4">
      <c r="A4" s="1">
        <v>2</v>
      </c>
      <c r="B4" t="s">
        <v>6</v>
      </c>
      <c r="C4">
        <v>83.851</v>
      </c>
      <c r="D4">
        <f t="shared" si="0"/>
        <v>0.193585549478583</v>
      </c>
    </row>
    <row r="5" spans="1:4">
      <c r="A5" s="1">
        <v>3</v>
      </c>
      <c r="B5" t="s">
        <v>17</v>
      </c>
      <c r="C5">
        <v>2.205</v>
      </c>
      <c r="D5">
        <f t="shared" si="0"/>
        <v>0.00509065051818436</v>
      </c>
    </row>
    <row r="6" spans="1:4">
      <c r="A6" s="1">
        <v>4</v>
      </c>
      <c r="B6" t="s">
        <v>18</v>
      </c>
      <c r="C6">
        <v>5.954</v>
      </c>
      <c r="D6">
        <f t="shared" si="0"/>
        <v>0.0137459107416189</v>
      </c>
    </row>
    <row r="7" spans="1:4">
      <c r="A7" s="1">
        <v>5</v>
      </c>
      <c r="B7" t="s">
        <v>7</v>
      </c>
      <c r="C7">
        <v>83.822</v>
      </c>
      <c r="D7">
        <f t="shared" si="0"/>
        <v>0.193518597612358</v>
      </c>
    </row>
    <row r="8" spans="1:4">
      <c r="A8" s="1">
        <v>6</v>
      </c>
      <c r="B8" t="s">
        <v>19</v>
      </c>
      <c r="C8">
        <v>43.486</v>
      </c>
      <c r="D8">
        <f t="shared" si="0"/>
        <v>0.100395477747739</v>
      </c>
    </row>
    <row r="9" spans="1:4">
      <c r="A9" s="1">
        <v>7</v>
      </c>
      <c r="B9" t="s">
        <v>8</v>
      </c>
      <c r="C9">
        <v>80.947</v>
      </c>
      <c r="D9">
        <f t="shared" si="0"/>
        <v>0.186881128115859</v>
      </c>
    </row>
    <row r="10" spans="1:4">
      <c r="A10" s="1">
        <v>8</v>
      </c>
      <c r="B10" t="s">
        <v>9</v>
      </c>
      <c r="C10">
        <v>10.127</v>
      </c>
      <c r="D10">
        <f t="shared" si="0"/>
        <v>0.0233800534229719</v>
      </c>
    </row>
    <row r="11" spans="1:4">
      <c r="A11" s="1">
        <v>9</v>
      </c>
      <c r="B11" t="s">
        <v>20</v>
      </c>
      <c r="C11">
        <v>45.672</v>
      </c>
      <c r="D11">
        <f t="shared" si="0"/>
        <v>0.105442263250121</v>
      </c>
    </row>
    <row r="12" spans="1:4">
      <c r="A12" s="1">
        <v>10</v>
      </c>
      <c r="B12" t="s">
        <v>10</v>
      </c>
      <c r="C12">
        <v>5.179</v>
      </c>
      <c r="D12">
        <f t="shared" si="0"/>
        <v>0.011956679833867</v>
      </c>
    </row>
    <row r="13" spans="1:4">
      <c r="A13" s="1">
        <v>11</v>
      </c>
      <c r="B13" t="s">
        <v>21</v>
      </c>
      <c r="C13">
        <v>2.869</v>
      </c>
      <c r="D13">
        <f t="shared" si="0"/>
        <v>0.00662361738624532</v>
      </c>
    </row>
    <row r="14" spans="1:4">
      <c r="A14" s="1">
        <v>12</v>
      </c>
      <c r="B14" t="s">
        <v>22</v>
      </c>
      <c r="C14">
        <v>9.89</v>
      </c>
      <c r="D14">
        <f t="shared" si="0"/>
        <v>0.0228328950679561</v>
      </c>
    </row>
    <row r="15" spans="1:4">
      <c r="A15" t="s">
        <v>23</v>
      </c>
      <c r="C15">
        <f>SUM(C2:C14)</f>
        <v>433.147</v>
      </c>
    </row>
    <row r="16" spans="1:4">
      <c r="A16" t="s">
        <v>24</v>
      </c>
      <c r="C16" t="str">
        <f ca="1">MID(CELL("filename",A1),FIND("]",CELL("filename",A1))+1,255)</f>
        <v>0.7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31.587</v>
      </c>
      <c r="D2">
        <f>C2/C$15</f>
        <v>0.10180225475219</v>
      </c>
    </row>
    <row r="3" spans="1:4">
      <c r="A3" s="1">
        <v>1</v>
      </c>
      <c r="B3" t="s">
        <v>4</v>
      </c>
      <c r="C3">
        <v>10.473</v>
      </c>
      <c r="D3">
        <f t="shared" ref="D3:D14" si="0">C3/C$15</f>
        <v>0.0337536016088798</v>
      </c>
    </row>
    <row r="4" spans="1:4">
      <c r="A4" s="1">
        <v>2</v>
      </c>
      <c r="B4" t="s">
        <v>6</v>
      </c>
      <c r="C4">
        <v>60.392</v>
      </c>
      <c r="D4">
        <f t="shared" si="0"/>
        <v>0.194638356570559</v>
      </c>
    </row>
    <row r="5" spans="1:4">
      <c r="A5" s="1">
        <v>3</v>
      </c>
      <c r="B5" t="s">
        <v>17</v>
      </c>
      <c r="C5">
        <v>1.505</v>
      </c>
      <c r="D5">
        <f t="shared" si="0"/>
        <v>0.00485048891639111</v>
      </c>
    </row>
    <row r="6" spans="1:4">
      <c r="A6" s="1">
        <v>4</v>
      </c>
      <c r="B6" t="s">
        <v>18</v>
      </c>
      <c r="C6">
        <v>4.54</v>
      </c>
      <c r="D6">
        <f t="shared" si="0"/>
        <v>0.0146320396547612</v>
      </c>
    </row>
    <row r="7" spans="1:4">
      <c r="A7" s="1">
        <v>5</v>
      </c>
      <c r="B7" t="s">
        <v>7</v>
      </c>
      <c r="C7">
        <v>58.31</v>
      </c>
      <c r="D7">
        <f t="shared" si="0"/>
        <v>0.1879282449932</v>
      </c>
    </row>
    <row r="8" spans="1:4">
      <c r="A8" s="1">
        <v>6</v>
      </c>
      <c r="B8" t="s">
        <v>19</v>
      </c>
      <c r="C8">
        <v>30.675</v>
      </c>
      <c r="D8">
        <f t="shared" si="0"/>
        <v>0.0988629551563437</v>
      </c>
    </row>
    <row r="9" spans="1:4">
      <c r="A9" s="1">
        <v>7</v>
      </c>
      <c r="B9" t="s">
        <v>8</v>
      </c>
      <c r="C9">
        <v>61.099</v>
      </c>
      <c r="D9">
        <f t="shared" si="0"/>
        <v>0.196916958340585</v>
      </c>
    </row>
    <row r="10" spans="1:4">
      <c r="A10" s="1">
        <v>8</v>
      </c>
      <c r="B10" t="s">
        <v>9</v>
      </c>
      <c r="C10">
        <v>8.698</v>
      </c>
      <c r="D10">
        <f t="shared" si="0"/>
        <v>0.0280329253121394</v>
      </c>
    </row>
    <row r="11" spans="1:4">
      <c r="A11" s="1">
        <v>9</v>
      </c>
      <c r="B11" t="s">
        <v>20</v>
      </c>
      <c r="C11">
        <v>32.162</v>
      </c>
      <c r="D11">
        <f t="shared" si="0"/>
        <v>0.103655431580711</v>
      </c>
    </row>
    <row r="12" spans="1:4">
      <c r="A12" s="1">
        <v>10</v>
      </c>
      <c r="B12" t="s">
        <v>10</v>
      </c>
      <c r="C12">
        <v>3.752</v>
      </c>
      <c r="D12">
        <f t="shared" si="0"/>
        <v>0.0120923816706309</v>
      </c>
    </row>
    <row r="13" spans="1:4">
      <c r="A13" s="1">
        <v>11</v>
      </c>
      <c r="B13" t="s">
        <v>21</v>
      </c>
      <c r="C13">
        <v>1.454</v>
      </c>
      <c r="D13">
        <f t="shared" si="0"/>
        <v>0.00468612018899181</v>
      </c>
    </row>
    <row r="14" spans="1:4">
      <c r="A14" s="1">
        <v>12</v>
      </c>
      <c r="B14" t="s">
        <v>22</v>
      </c>
      <c r="C14">
        <v>5.631</v>
      </c>
      <c r="D14">
        <f t="shared" si="0"/>
        <v>0.0181482412546168</v>
      </c>
    </row>
    <row r="15" spans="1:4">
      <c r="A15" t="s">
        <v>23</v>
      </c>
      <c r="C15">
        <f>SUM(C2:C14)</f>
        <v>310.278</v>
      </c>
    </row>
    <row r="16" spans="1:4">
      <c r="A16" t="s">
        <v>24</v>
      </c>
      <c r="C16" t="str">
        <f ca="1">MID(CELL("filename",A1),FIND("]",CELL("filename",A1))+1,255)</f>
        <v>0.72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22.062</v>
      </c>
      <c r="D2">
        <f>C2/C$15</f>
        <v>0.0924512014214236</v>
      </c>
    </row>
    <row r="3" spans="1:4">
      <c r="A3" s="1">
        <v>1</v>
      </c>
      <c r="B3" t="s">
        <v>4</v>
      </c>
      <c r="C3">
        <v>9.01</v>
      </c>
      <c r="D3">
        <f t="shared" ref="D3:D14" si="0">C3/C$15</f>
        <v>0.0377565644459717</v>
      </c>
    </row>
    <row r="4" spans="1:4">
      <c r="A4" s="1">
        <v>2</v>
      </c>
      <c r="B4" t="s">
        <v>6</v>
      </c>
      <c r="C4">
        <v>40.675</v>
      </c>
      <c r="D4">
        <f t="shared" si="0"/>
        <v>0.170449307307425</v>
      </c>
    </row>
    <row r="5" spans="1:4">
      <c r="A5" s="1">
        <v>3</v>
      </c>
      <c r="B5" t="s">
        <v>17</v>
      </c>
      <c r="C5">
        <v>0.777</v>
      </c>
      <c r="D5">
        <f t="shared" si="0"/>
        <v>0.00325603225022419</v>
      </c>
    </row>
    <row r="6" spans="1:4">
      <c r="A6" s="1">
        <v>4</v>
      </c>
      <c r="B6" t="s">
        <v>18</v>
      </c>
      <c r="C6">
        <v>2.35</v>
      </c>
      <c r="D6">
        <f t="shared" si="0"/>
        <v>0.00984771658690715</v>
      </c>
    </row>
    <row r="7" spans="1:4">
      <c r="A7" s="1">
        <v>5</v>
      </c>
      <c r="B7" t="s">
        <v>7</v>
      </c>
      <c r="C7">
        <v>48.813</v>
      </c>
      <c r="D7">
        <f t="shared" si="0"/>
        <v>0.204551740321999</v>
      </c>
    </row>
    <row r="8" spans="1:4">
      <c r="A8" s="1">
        <v>6</v>
      </c>
      <c r="B8" t="s">
        <v>19</v>
      </c>
      <c r="C8">
        <v>24.067</v>
      </c>
      <c r="D8">
        <f t="shared" si="0"/>
        <v>0.100853189403019</v>
      </c>
    </row>
    <row r="9" spans="1:4">
      <c r="A9" s="1">
        <v>7</v>
      </c>
      <c r="B9" t="s">
        <v>8</v>
      </c>
      <c r="C9">
        <v>51.613</v>
      </c>
      <c r="D9">
        <f t="shared" si="0"/>
        <v>0.216285189872357</v>
      </c>
    </row>
    <row r="10" spans="1:4">
      <c r="A10" s="1">
        <v>8</v>
      </c>
      <c r="B10" t="s">
        <v>9</v>
      </c>
      <c r="C10">
        <v>7.232</v>
      </c>
      <c r="D10">
        <f t="shared" si="0"/>
        <v>0.0303058239814947</v>
      </c>
    </row>
    <row r="11" spans="1:4">
      <c r="A11" s="1">
        <v>9</v>
      </c>
      <c r="B11" t="s">
        <v>20</v>
      </c>
      <c r="C11">
        <v>24.857</v>
      </c>
      <c r="D11">
        <f t="shared" si="0"/>
        <v>0.104163698383298</v>
      </c>
    </row>
    <row r="12" spans="1:4">
      <c r="A12" s="1">
        <v>10</v>
      </c>
      <c r="B12" t="s">
        <v>10</v>
      </c>
      <c r="C12">
        <v>3.015</v>
      </c>
      <c r="D12">
        <f t="shared" si="0"/>
        <v>0.012634410855117</v>
      </c>
    </row>
    <row r="13" spans="1:4">
      <c r="A13" s="1">
        <v>11</v>
      </c>
      <c r="B13" t="s">
        <v>21</v>
      </c>
      <c r="C13">
        <v>0</v>
      </c>
      <c r="D13">
        <f t="shared" si="0"/>
        <v>0</v>
      </c>
    </row>
    <row r="14" spans="1:4">
      <c r="A14" s="1">
        <v>12</v>
      </c>
      <c r="B14" t="s">
        <v>22</v>
      </c>
      <c r="C14">
        <v>4.163</v>
      </c>
      <c r="D14">
        <f t="shared" si="0"/>
        <v>0.0174451251707636</v>
      </c>
    </row>
    <row r="15" spans="1:4">
      <c r="A15" t="s">
        <v>23</v>
      </c>
      <c r="C15">
        <f>SUM(C2:C14)</f>
        <v>238.634</v>
      </c>
    </row>
    <row r="16" spans="1:4">
      <c r="A16" t="s">
        <v>24</v>
      </c>
      <c r="C16" t="str">
        <f ca="1">MID(CELL("filename",A1),FIND("]",CELL("filename",A1))+1,255)</f>
        <v>0.74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19.065</v>
      </c>
      <c r="D2">
        <f>C2/C$15</f>
        <v>0.101145949387235</v>
      </c>
    </row>
    <row r="3" spans="1:4">
      <c r="A3" s="1">
        <v>1</v>
      </c>
      <c r="B3" t="s">
        <v>4</v>
      </c>
      <c r="C3">
        <v>6.779</v>
      </c>
      <c r="D3">
        <f t="shared" ref="D3:D14" si="0">C3/C$15</f>
        <v>0.035964772666985</v>
      </c>
    </row>
    <row r="4" spans="1:4">
      <c r="A4" s="1">
        <v>2</v>
      </c>
      <c r="B4" t="s">
        <v>6</v>
      </c>
      <c r="C4">
        <v>29.432</v>
      </c>
      <c r="D4">
        <f t="shared" si="0"/>
        <v>0.156146214653297</v>
      </c>
    </row>
    <row r="5" spans="1:4">
      <c r="A5" s="1">
        <v>3</v>
      </c>
      <c r="B5" t="s">
        <v>17</v>
      </c>
      <c r="C5">
        <v>0.777</v>
      </c>
      <c r="D5">
        <f t="shared" si="0"/>
        <v>0.00412223460130511</v>
      </c>
    </row>
    <row r="6" spans="1:4">
      <c r="A6" s="1">
        <v>4</v>
      </c>
      <c r="B6" t="s">
        <v>18</v>
      </c>
      <c r="C6">
        <v>2.35</v>
      </c>
      <c r="D6">
        <f t="shared" si="0"/>
        <v>0.0124675049074221</v>
      </c>
    </row>
    <row r="7" spans="1:4">
      <c r="A7" s="1">
        <v>5</v>
      </c>
      <c r="B7" t="s">
        <v>7</v>
      </c>
      <c r="C7">
        <v>39.098</v>
      </c>
      <c r="D7">
        <f t="shared" si="0"/>
        <v>0.207427449732081</v>
      </c>
    </row>
    <row r="8" spans="1:4">
      <c r="A8" s="1">
        <v>6</v>
      </c>
      <c r="B8" t="s">
        <v>19</v>
      </c>
      <c r="C8">
        <v>18.833</v>
      </c>
      <c r="D8">
        <f t="shared" si="0"/>
        <v>0.0999151148602048</v>
      </c>
    </row>
    <row r="9" spans="1:4">
      <c r="A9" s="1">
        <v>7</v>
      </c>
      <c r="B9" t="s">
        <v>8</v>
      </c>
      <c r="C9">
        <v>43.382</v>
      </c>
      <c r="D9">
        <f t="shared" si="0"/>
        <v>0.23015544591225</v>
      </c>
    </row>
    <row r="10" spans="1:4">
      <c r="A10" s="1">
        <v>8</v>
      </c>
      <c r="B10" t="s">
        <v>9</v>
      </c>
      <c r="C10">
        <v>4.237</v>
      </c>
      <c r="D10">
        <f t="shared" si="0"/>
        <v>0.0224786460820203</v>
      </c>
    </row>
    <row r="11" spans="1:4">
      <c r="A11" s="1">
        <v>9</v>
      </c>
      <c r="B11" t="s">
        <v>20</v>
      </c>
      <c r="C11">
        <v>20.355</v>
      </c>
      <c r="D11">
        <f t="shared" si="0"/>
        <v>0.107989813783225</v>
      </c>
    </row>
    <row r="12" spans="1:4">
      <c r="A12" s="1">
        <v>10</v>
      </c>
      <c r="B12" t="s">
        <v>10</v>
      </c>
      <c r="C12">
        <v>0.767</v>
      </c>
      <c r="D12">
        <f t="shared" si="0"/>
        <v>0.0040691813889331</v>
      </c>
    </row>
    <row r="13" spans="1:4">
      <c r="A13" s="1">
        <v>11</v>
      </c>
      <c r="B13" t="s">
        <v>21</v>
      </c>
      <c r="C13">
        <v>0</v>
      </c>
      <c r="D13">
        <f t="shared" si="0"/>
        <v>0</v>
      </c>
    </row>
    <row r="14" spans="1:4">
      <c r="A14" s="1">
        <v>12</v>
      </c>
      <c r="B14" t="s">
        <v>22</v>
      </c>
      <c r="C14">
        <v>3.415</v>
      </c>
      <c r="D14">
        <f t="shared" si="0"/>
        <v>0.0181176720250411</v>
      </c>
    </row>
    <row r="15" spans="1:4">
      <c r="A15" t="s">
        <v>23</v>
      </c>
      <c r="C15">
        <f>SUM(C2:C14)</f>
        <v>188.49</v>
      </c>
    </row>
    <row r="16" spans="1:4">
      <c r="A16" t="s">
        <v>24</v>
      </c>
      <c r="C16" t="str">
        <f ca="1">MID(CELL("filename",A1),FIND("]",CELL("filename",A1))+1,255)</f>
        <v>0.76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15.228</v>
      </c>
      <c r="D2">
        <f>C2/C$15</f>
        <v>0.107020872865275</v>
      </c>
    </row>
    <row r="3" spans="1:4">
      <c r="A3" s="1">
        <v>1</v>
      </c>
      <c r="B3" t="s">
        <v>4</v>
      </c>
      <c r="C3">
        <v>4.476</v>
      </c>
      <c r="D3">
        <f t="shared" ref="D3:D14" si="0">C3/C$15</f>
        <v>0.0314568838288003</v>
      </c>
    </row>
    <row r="4" spans="1:4">
      <c r="A4" s="1">
        <v>2</v>
      </c>
      <c r="B4" t="s">
        <v>6</v>
      </c>
      <c r="C4">
        <v>21.74</v>
      </c>
      <c r="D4">
        <f t="shared" si="0"/>
        <v>0.152786562653735</v>
      </c>
    </row>
    <row r="5" spans="1:4">
      <c r="A5" s="1">
        <v>3</v>
      </c>
      <c r="B5" t="s">
        <v>17</v>
      </c>
      <c r="C5">
        <v>0</v>
      </c>
      <c r="D5">
        <f t="shared" si="0"/>
        <v>0</v>
      </c>
    </row>
    <row r="6" spans="1:4">
      <c r="A6" s="1">
        <v>4</v>
      </c>
      <c r="B6" t="s">
        <v>18</v>
      </c>
      <c r="C6">
        <v>1.582</v>
      </c>
      <c r="D6">
        <f t="shared" si="0"/>
        <v>0.0111181390118772</v>
      </c>
    </row>
    <row r="7" spans="1:4">
      <c r="A7" s="1">
        <v>5</v>
      </c>
      <c r="B7" t="s">
        <v>7</v>
      </c>
      <c r="C7">
        <v>29.845</v>
      </c>
      <c r="D7">
        <f t="shared" si="0"/>
        <v>0.209747698362499</v>
      </c>
    </row>
    <row r="8" spans="1:4">
      <c r="A8" s="1">
        <v>6</v>
      </c>
      <c r="B8" t="s">
        <v>19</v>
      </c>
      <c r="C8">
        <v>14.978</v>
      </c>
      <c r="D8">
        <f t="shared" si="0"/>
        <v>0.105263897673765</v>
      </c>
    </row>
    <row r="9" spans="1:4">
      <c r="A9" s="1">
        <v>7</v>
      </c>
      <c r="B9" t="s">
        <v>8</v>
      </c>
      <c r="C9">
        <v>31.836</v>
      </c>
      <c r="D9">
        <f t="shared" si="0"/>
        <v>0.223740248787687</v>
      </c>
    </row>
    <row r="10" spans="1:4">
      <c r="A10" s="1">
        <v>8</v>
      </c>
      <c r="B10" t="s">
        <v>9</v>
      </c>
      <c r="C10">
        <v>3.457</v>
      </c>
      <c r="D10">
        <f t="shared" si="0"/>
        <v>0.0242954529482044</v>
      </c>
    </row>
    <row r="11" spans="1:4">
      <c r="A11" s="1">
        <v>9</v>
      </c>
      <c r="B11" t="s">
        <v>20</v>
      </c>
      <c r="C11">
        <v>16.508</v>
      </c>
      <c r="D11">
        <f t="shared" si="0"/>
        <v>0.116016585845808</v>
      </c>
    </row>
    <row r="12" spans="1:4">
      <c r="A12" s="1">
        <v>10</v>
      </c>
      <c r="B12" t="s">
        <v>10</v>
      </c>
      <c r="C12">
        <v>0</v>
      </c>
      <c r="D12">
        <f t="shared" si="0"/>
        <v>0</v>
      </c>
    </row>
    <row r="13" spans="1:4">
      <c r="A13" s="1">
        <v>11</v>
      </c>
      <c r="B13" t="s">
        <v>21</v>
      </c>
      <c r="C13">
        <v>0</v>
      </c>
      <c r="D13">
        <f t="shared" si="0"/>
        <v>0</v>
      </c>
    </row>
    <row r="14" spans="1:4">
      <c r="A14" s="1">
        <v>12</v>
      </c>
      <c r="B14" t="s">
        <v>22</v>
      </c>
      <c r="C14">
        <v>2.64</v>
      </c>
      <c r="D14">
        <f t="shared" si="0"/>
        <v>0.0185536580223487</v>
      </c>
    </row>
    <row r="15" spans="1:4">
      <c r="A15" t="s">
        <v>23</v>
      </c>
      <c r="C15">
        <f>SUM(C2:C14)</f>
        <v>142.29</v>
      </c>
    </row>
    <row r="16" spans="1:4">
      <c r="A16" t="s">
        <v>24</v>
      </c>
      <c r="C16" t="str">
        <f ca="1">MID(CELL("filename",A1),FIND("]",CELL("filename",A1))+1,255)</f>
        <v>0.78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D2" sqref="D2:D14"/>
    </sheetView>
  </sheetViews>
  <sheetFormatPr defaultColWidth="9" defaultRowHeight="13.5" outlineLevelCol="3"/>
  <sheetData>
    <row r="1" spans="1:4">
      <c r="B1" s="1" t="s">
        <v>0</v>
      </c>
      <c r="C1" s="1" t="s">
        <v>16</v>
      </c>
    </row>
    <row r="2" spans="1:4">
      <c r="A2" s="1">
        <v>0</v>
      </c>
      <c r="B2" t="s">
        <v>3</v>
      </c>
      <c r="C2">
        <v>10.485</v>
      </c>
      <c r="D2">
        <f>C2/C$15</f>
        <v>0.0960314334649167</v>
      </c>
    </row>
    <row r="3" spans="1:4">
      <c r="A3" s="1">
        <v>1</v>
      </c>
      <c r="B3" t="s">
        <v>4</v>
      </c>
      <c r="C3">
        <v>3.688</v>
      </c>
      <c r="D3">
        <f t="shared" ref="D3:D14" si="0">C3/C$15</f>
        <v>0.0337781522764533</v>
      </c>
    </row>
    <row r="4" spans="1:4">
      <c r="A4" s="1">
        <v>2</v>
      </c>
      <c r="B4" t="s">
        <v>6</v>
      </c>
      <c r="C4">
        <v>15.431</v>
      </c>
      <c r="D4">
        <f t="shared" si="0"/>
        <v>0.14133152597016</v>
      </c>
    </row>
    <row r="5" spans="1:4">
      <c r="A5" s="1">
        <v>3</v>
      </c>
      <c r="B5" t="s">
        <v>17</v>
      </c>
      <c r="C5">
        <v>0</v>
      </c>
      <c r="D5">
        <f t="shared" si="0"/>
        <v>0</v>
      </c>
    </row>
    <row r="6" spans="1:4">
      <c r="A6" s="1">
        <v>4</v>
      </c>
      <c r="B6" t="s">
        <v>18</v>
      </c>
      <c r="C6">
        <v>0</v>
      </c>
      <c r="D6">
        <f t="shared" si="0"/>
        <v>0</v>
      </c>
    </row>
    <row r="7" spans="1:4">
      <c r="A7" s="1">
        <v>5</v>
      </c>
      <c r="B7" t="s">
        <v>7</v>
      </c>
      <c r="C7">
        <v>22.743</v>
      </c>
      <c r="D7">
        <f t="shared" si="0"/>
        <v>0.208301658683128</v>
      </c>
    </row>
    <row r="8" spans="1:4">
      <c r="A8" s="1">
        <v>6</v>
      </c>
      <c r="B8" t="s">
        <v>19</v>
      </c>
      <c r="C8">
        <v>10.254</v>
      </c>
      <c r="D8">
        <f t="shared" si="0"/>
        <v>0.0939157194801389</v>
      </c>
    </row>
    <row r="9" spans="1:4">
      <c r="A9" s="1">
        <v>7</v>
      </c>
      <c r="B9" t="s">
        <v>8</v>
      </c>
      <c r="C9">
        <v>26.327</v>
      </c>
      <c r="D9">
        <f t="shared" si="0"/>
        <v>0.241127281719682</v>
      </c>
    </row>
    <row r="10" spans="1:4">
      <c r="A10" s="1">
        <v>8</v>
      </c>
      <c r="B10" t="s">
        <v>9</v>
      </c>
      <c r="C10">
        <v>3.457</v>
      </c>
      <c r="D10">
        <f t="shared" si="0"/>
        <v>0.0316624382916754</v>
      </c>
    </row>
    <row r="11" spans="1:4">
      <c r="A11" s="1">
        <v>9</v>
      </c>
      <c r="B11" t="s">
        <v>20</v>
      </c>
      <c r="C11">
        <v>14.939</v>
      </c>
      <c r="D11">
        <f t="shared" si="0"/>
        <v>0.136825329950633</v>
      </c>
    </row>
    <row r="12" spans="1:4">
      <c r="A12" s="1">
        <v>10</v>
      </c>
      <c r="B12" t="s">
        <v>10</v>
      </c>
      <c r="C12">
        <v>0</v>
      </c>
      <c r="D12">
        <f t="shared" si="0"/>
        <v>0</v>
      </c>
    </row>
    <row r="13" spans="1:4">
      <c r="A13" s="1">
        <v>11</v>
      </c>
      <c r="B13" t="s">
        <v>21</v>
      </c>
      <c r="C13">
        <v>0</v>
      </c>
      <c r="D13">
        <f t="shared" si="0"/>
        <v>0</v>
      </c>
    </row>
    <row r="14" spans="1:4">
      <c r="A14" s="1">
        <v>12</v>
      </c>
      <c r="B14" t="s">
        <v>22</v>
      </c>
      <c r="C14">
        <v>1.859</v>
      </c>
      <c r="D14">
        <f t="shared" si="0"/>
        <v>0.0170264601632122</v>
      </c>
    </row>
    <row r="15" spans="1:4">
      <c r="A15" t="s">
        <v>23</v>
      </c>
      <c r="C15">
        <f>SUM(C2:C14)</f>
        <v>109.183</v>
      </c>
    </row>
    <row r="16" spans="1:4">
      <c r="A16" t="s">
        <v>24</v>
      </c>
      <c r="C16" t="str">
        <f ca="1">MID(CELL("filename",A1),FIND("]",CELL("filename",A1))+1,255)</f>
        <v>0.8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general</vt:lpstr>
      <vt:lpstr>0.6</vt:lpstr>
      <vt:lpstr>0.62</vt:lpstr>
      <vt:lpstr>0.64</vt:lpstr>
      <vt:lpstr>0.66</vt:lpstr>
      <vt:lpstr>0.68</vt:lpstr>
      <vt:lpstr>0.7</vt:lpstr>
      <vt:lpstr>0.72</vt:lpstr>
      <vt:lpstr>0.74</vt:lpstr>
      <vt:lpstr>0.76</vt:lpstr>
      <vt:lpstr>0.78</vt:lpstr>
      <vt:lpstr>0.8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高某婷</cp:lastModifiedBy>
  <dcterms:created xsi:type="dcterms:W3CDTF">2023-11-29T22:46:00Z</dcterms:created>
  <dcterms:modified xsi:type="dcterms:W3CDTF">2026-06-08T20:22:20Z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656B15C883774AF49958B281F5B0B835_12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