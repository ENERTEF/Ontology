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Desktop\ontology-development-improvement\Code\Ontology Selection\Results\"/>
    </mc:Choice>
  </mc:AlternateContent>
  <xr:revisionPtr revIDLastSave="0" documentId="13_ncr:1_{586378B0-93A4-4561-93FB-5328CED07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12" r:id="rId1"/>
    <sheet name="0.6" sheetId="1" r:id="rId2"/>
    <sheet name="0.62" sheetId="2" r:id="rId3"/>
    <sheet name="0.64" sheetId="3" r:id="rId4"/>
    <sheet name="0.66" sheetId="4" r:id="rId5"/>
    <sheet name="0.68" sheetId="5" r:id="rId6"/>
    <sheet name="0.7" sheetId="6" r:id="rId7"/>
    <sheet name="0.72" sheetId="7" r:id="rId8"/>
    <sheet name="0.74" sheetId="8" r:id="rId9"/>
    <sheet name="0.76" sheetId="9" r:id="rId10"/>
    <sheet name="0.78" sheetId="10" r:id="rId11"/>
    <sheet name="0.8" sheetId="11" r:id="rId12"/>
  </sheets>
  <calcPr calcId="191029"/>
</workbook>
</file>

<file path=xl/calcChain.xml><?xml version="1.0" encoding="utf-8"?>
<calcChain xmlns="http://schemas.openxmlformats.org/spreadsheetml/2006/main">
  <c r="E5" i="12" l="1"/>
  <c r="F5" i="12"/>
  <c r="G5" i="12"/>
  <c r="H5" i="12"/>
  <c r="I5" i="12"/>
  <c r="J5" i="12"/>
  <c r="K5" i="12"/>
  <c r="L5" i="12"/>
  <c r="M5" i="12"/>
  <c r="E6" i="12"/>
  <c r="F6" i="12"/>
  <c r="G6" i="12"/>
  <c r="H6" i="12"/>
  <c r="I6" i="12"/>
  <c r="J6" i="12"/>
  <c r="K6" i="12"/>
  <c r="L6" i="12"/>
  <c r="M6" i="12"/>
  <c r="E7" i="12"/>
  <c r="F7" i="12"/>
  <c r="G7" i="12"/>
  <c r="H7" i="12"/>
  <c r="I7" i="12"/>
  <c r="J7" i="12"/>
  <c r="K7" i="12"/>
  <c r="L7" i="12"/>
  <c r="M7" i="12"/>
  <c r="E8" i="12"/>
  <c r="F8" i="12"/>
  <c r="G8" i="12"/>
  <c r="H8" i="12"/>
  <c r="I8" i="12"/>
  <c r="J8" i="12"/>
  <c r="K8" i="12"/>
  <c r="L8" i="12"/>
  <c r="M8" i="12"/>
  <c r="E9" i="12"/>
  <c r="F9" i="12"/>
  <c r="G9" i="12"/>
  <c r="H9" i="12"/>
  <c r="I9" i="12"/>
  <c r="J9" i="12"/>
  <c r="K9" i="12"/>
  <c r="L9" i="12"/>
  <c r="M9" i="12"/>
  <c r="E10" i="12"/>
  <c r="F10" i="12"/>
  <c r="G10" i="12"/>
  <c r="H10" i="12"/>
  <c r="I10" i="12"/>
  <c r="J10" i="12"/>
  <c r="K10" i="12"/>
  <c r="L10" i="12"/>
  <c r="M10" i="12"/>
  <c r="E11" i="12"/>
  <c r="F11" i="12"/>
  <c r="G11" i="12"/>
  <c r="H11" i="12"/>
  <c r="I11" i="12"/>
  <c r="J11" i="12"/>
  <c r="K11" i="12"/>
  <c r="L11" i="12"/>
  <c r="M11" i="12"/>
  <c r="E12" i="12"/>
  <c r="F12" i="12"/>
  <c r="G12" i="12"/>
  <c r="H12" i="12"/>
  <c r="I12" i="12"/>
  <c r="J12" i="12"/>
  <c r="K12" i="12"/>
  <c r="L12" i="12"/>
  <c r="M12" i="12"/>
  <c r="E13" i="12"/>
  <c r="F13" i="12"/>
  <c r="G13" i="12"/>
  <c r="H13" i="12"/>
  <c r="I13" i="12"/>
  <c r="J13" i="12"/>
  <c r="K13" i="12"/>
  <c r="L13" i="12"/>
  <c r="M13" i="12"/>
  <c r="E14" i="12"/>
  <c r="F14" i="12"/>
  <c r="G14" i="12"/>
  <c r="H14" i="12"/>
  <c r="I14" i="12"/>
  <c r="J14" i="12"/>
  <c r="K14" i="12"/>
  <c r="L14" i="12"/>
  <c r="M14" i="12"/>
  <c r="E15" i="12"/>
  <c r="F15" i="12"/>
  <c r="G15" i="12"/>
  <c r="H15" i="12"/>
  <c r="I15" i="12"/>
  <c r="J15" i="12"/>
  <c r="K15" i="12"/>
  <c r="L15" i="12"/>
  <c r="M15" i="12"/>
  <c r="E16" i="12"/>
  <c r="F16" i="12"/>
  <c r="G16" i="12"/>
  <c r="H16" i="12"/>
  <c r="I16" i="12"/>
  <c r="J16" i="12"/>
  <c r="K16" i="12"/>
  <c r="L16" i="12"/>
  <c r="M16" i="12"/>
  <c r="M4" i="12"/>
  <c r="L4" i="12"/>
  <c r="K4" i="12"/>
  <c r="J4" i="12"/>
  <c r="F4" i="12"/>
  <c r="G4" i="12"/>
  <c r="I4" i="12"/>
  <c r="H4" i="12"/>
  <c r="E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4" i="1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4" i="3"/>
  <c r="D13" i="3"/>
  <c r="D12" i="3"/>
  <c r="D11" i="3"/>
  <c r="D10" i="3"/>
  <c r="D9" i="3"/>
  <c r="D8" i="3"/>
  <c r="D7" i="3"/>
  <c r="D6" i="3"/>
  <c r="D5" i="3"/>
  <c r="D4" i="3"/>
  <c r="D3" i="3"/>
  <c r="D2" i="3"/>
  <c r="D14" i="4"/>
  <c r="D13" i="4"/>
  <c r="D12" i="4"/>
  <c r="D11" i="4"/>
  <c r="D10" i="4"/>
  <c r="D9" i="4"/>
  <c r="D8" i="4"/>
  <c r="D7" i="4"/>
  <c r="D6" i="4"/>
  <c r="D5" i="4"/>
  <c r="D4" i="4"/>
  <c r="D3" i="4"/>
  <c r="D2" i="4"/>
  <c r="D14" i="5"/>
  <c r="D13" i="5"/>
  <c r="D12" i="5"/>
  <c r="D11" i="5"/>
  <c r="D10" i="5"/>
  <c r="D9" i="5"/>
  <c r="D8" i="5"/>
  <c r="D7" i="5"/>
  <c r="D6" i="5"/>
  <c r="D5" i="5"/>
  <c r="D4" i="5"/>
  <c r="D3" i="5"/>
  <c r="D2" i="5"/>
  <c r="D14" i="6"/>
  <c r="D13" i="6"/>
  <c r="D12" i="6"/>
  <c r="D11" i="6"/>
  <c r="D10" i="6"/>
  <c r="D9" i="6"/>
  <c r="D8" i="6"/>
  <c r="D7" i="6"/>
  <c r="D6" i="6"/>
  <c r="D5" i="6"/>
  <c r="D4" i="6"/>
  <c r="D3" i="6"/>
  <c r="D2" i="6"/>
  <c r="D14" i="7"/>
  <c r="D13" i="7"/>
  <c r="D12" i="7"/>
  <c r="D11" i="7"/>
  <c r="D10" i="7"/>
  <c r="D9" i="7"/>
  <c r="D8" i="7"/>
  <c r="D7" i="7"/>
  <c r="D6" i="7"/>
  <c r="D5" i="7"/>
  <c r="D4" i="7"/>
  <c r="D3" i="7"/>
  <c r="D2" i="7"/>
  <c r="D14" i="8"/>
  <c r="D13" i="8"/>
  <c r="D12" i="8"/>
  <c r="D11" i="8"/>
  <c r="D10" i="8"/>
  <c r="D9" i="8"/>
  <c r="D8" i="8"/>
  <c r="D7" i="8"/>
  <c r="D6" i="8"/>
  <c r="D5" i="8"/>
  <c r="D4" i="8"/>
  <c r="D3" i="8"/>
  <c r="D2" i="8"/>
  <c r="D14" i="9"/>
  <c r="D13" i="9"/>
  <c r="D12" i="9"/>
  <c r="D11" i="9"/>
  <c r="D10" i="9"/>
  <c r="D9" i="9"/>
  <c r="D8" i="9"/>
  <c r="D7" i="9"/>
  <c r="D6" i="9"/>
  <c r="D5" i="9"/>
  <c r="D4" i="9"/>
  <c r="D3" i="9"/>
  <c r="D2" i="9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3" i="11"/>
  <c r="D4" i="11"/>
  <c r="D5" i="11"/>
  <c r="D6" i="11"/>
  <c r="D7" i="11"/>
  <c r="D8" i="11"/>
  <c r="D9" i="11"/>
  <c r="D10" i="11"/>
  <c r="D11" i="11"/>
  <c r="D12" i="11"/>
  <c r="D13" i="11"/>
  <c r="D14" i="11"/>
  <c r="D2" i="11"/>
  <c r="C16" i="11"/>
  <c r="C15" i="11"/>
  <c r="C16" i="10"/>
  <c r="C15" i="10"/>
  <c r="C16" i="9"/>
  <c r="C15" i="9"/>
  <c r="C16" i="8"/>
  <c r="C15" i="8"/>
  <c r="C16" i="7"/>
  <c r="C15" i="7"/>
  <c r="C16" i="6"/>
  <c r="C15" i="6"/>
  <c r="C16" i="5"/>
  <c r="C15" i="5"/>
  <c r="C16" i="4"/>
  <c r="C15" i="4"/>
  <c r="C16" i="3"/>
  <c r="C15" i="3"/>
  <c r="C16" i="2"/>
  <c r="C15" i="2"/>
  <c r="C16" i="1"/>
  <c r="C15" i="1" l="1"/>
  <c r="D3" i="1" s="1"/>
  <c r="D2" i="1" l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<sst xmlns="http://schemas.openxmlformats.org/spreadsheetml/2006/main" count="203" uniqueCount="19">
  <si>
    <t>Ontology</t>
  </si>
  <si>
    <t>BERT_Sim</t>
  </si>
  <si>
    <t>SAREF4BLDG</t>
  </si>
  <si>
    <t>SAREF4ENER</t>
  </si>
  <si>
    <t>SARGON</t>
  </si>
  <si>
    <t>BONSAI</t>
  </si>
  <si>
    <t>BCOM</t>
  </si>
  <si>
    <t>SBEO</t>
  </si>
  <si>
    <t>BIMERR</t>
  </si>
  <si>
    <t>EM-KPI</t>
  </si>
  <si>
    <t>FSO</t>
  </si>
  <si>
    <t>RESPOND</t>
  </si>
  <si>
    <t>SSN</t>
  </si>
  <si>
    <t>SOSA</t>
  </si>
  <si>
    <t>BTO</t>
  </si>
  <si>
    <t>sim_threshold</t>
    <phoneticPr fontId="2" type="noConversion"/>
  </si>
  <si>
    <t>sum</t>
    <phoneticPr fontId="2" type="noConversion"/>
  </si>
  <si>
    <t>Percentage_Value</t>
    <phoneticPr fontId="2" type="noConversion"/>
  </si>
  <si>
    <t>Sim_Thershold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</si>
</sst>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3" fillId="2" borderId="2" applyNumberFormat="0" applyAlignment="0" applyProtection="0">
      <alignment vertical="center"/>
    </xf>
    <xf numFmtId="0" fontId="4" fillId="3" borderId="3" applyNumberFormat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3" fillId="2" borderId="2" xfId="1" applyAlignment="1">
      <alignment horizontal="center" vertical="center"/>
    </xf>
    <xf numFmtId="0" fontId="3" fillId="2" borderId="2" xfId="1" applyAlignment="1">
      <alignment horizontal="center" vertical="top"/>
    </xf>
    <xf numFmtId="0" fontId="4" fillId="3" borderId="4" xfId="2" applyBorder="1" applyAlignment="1">
      <alignment horizontal="center"/>
    </xf>
    <xf numFmtId="0" fontId="4" fillId="3" borderId="5" xfId="2" applyBorder="1" applyAlignment="1">
      <alignment horizontal="center"/>
    </xf>
    <xf numFmtId="0" fontId="4" fillId="3" borderId="6" xfId="2" applyBorder="1" applyAlignment="1">
      <alignment horizontal="center"/>
    </xf>
  </cellXfs>
  <cellStyles count="3">
    <cellStyle name="常规" xfId="0" builtinId="0"/>
    <cellStyle name="检查单元格" xfId="2" builtinId="23"/>
    <cellStyle name="输出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800" b="1"/>
              <a:t>BERT_Si</a:t>
            </a:r>
            <a:r>
              <a:rPr lang="en-US" altLang="zh-CN" sz="2800" b="1" baseline="0"/>
              <a:t>m with different sim_threshold</a:t>
            </a:r>
          </a:p>
        </c:rich>
      </c:tx>
      <c:layout>
        <c:manualLayout>
          <c:xMode val="edge"/>
          <c:yMode val="edge"/>
          <c:x val="0.22962176843277757"/>
          <c:y val="2.7865674108118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general!$C$3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general!$C$4:$C$16</c:f>
              <c:numCache>
                <c:formatCode>General</c:formatCode>
                <c:ptCount val="13"/>
                <c:pt idx="0">
                  <c:v>8.9852524379803816E-2</c:v>
                </c:pt>
                <c:pt idx="1">
                  <c:v>3.4983859409019324E-2</c:v>
                </c:pt>
                <c:pt idx="2">
                  <c:v>0.21115601996243566</c:v>
                </c:pt>
                <c:pt idx="3">
                  <c:v>1.1345494902649703E-2</c:v>
                </c:pt>
                <c:pt idx="4">
                  <c:v>9.4651214443798315E-3</c:v>
                </c:pt>
                <c:pt idx="5">
                  <c:v>0.20212289563136632</c:v>
                </c:pt>
                <c:pt idx="6">
                  <c:v>8.1178798645498568E-2</c:v>
                </c:pt>
                <c:pt idx="7">
                  <c:v>0.18499467730678193</c:v>
                </c:pt>
                <c:pt idx="8">
                  <c:v>2.7561559588646745E-2</c:v>
                </c:pt>
                <c:pt idx="9">
                  <c:v>9.0837995332131022E-2</c:v>
                </c:pt>
                <c:pt idx="10">
                  <c:v>2.2747774783588134E-2</c:v>
                </c:pt>
                <c:pt idx="11">
                  <c:v>1.8233728408230804E-2</c:v>
                </c:pt>
                <c:pt idx="12">
                  <c:v>1.5519550205468179E-2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B-4825-A0C8-8FB6051E16F7}"/>
            </c:ext>
          </c:extLst>
        </c:ser>
        <c:ser>
          <c:idx val="1"/>
          <c:order val="1"/>
          <c:tx>
            <c:strRef>
              <c:f>general!$D$3</c:f>
              <c:strCache>
                <c:ptCount val="1"/>
                <c:pt idx="0">
                  <c:v>0.62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general!$D$4:$D$16</c:f>
              <c:numCache>
                <c:formatCode>General</c:formatCode>
                <c:ptCount val="13"/>
                <c:pt idx="0">
                  <c:v>9.0242842429257772E-2</c:v>
                </c:pt>
                <c:pt idx="1">
                  <c:v>3.4132148534210816E-2</c:v>
                </c:pt>
                <c:pt idx="2">
                  <c:v>0.20723466830188902</c:v>
                </c:pt>
                <c:pt idx="3">
                  <c:v>1.0313978004444698E-2</c:v>
                </c:pt>
                <c:pt idx="4">
                  <c:v>1.0683093734132914E-2</c:v>
                </c:pt>
                <c:pt idx="5">
                  <c:v>0.19863444189956816</c:v>
                </c:pt>
                <c:pt idx="6">
                  <c:v>8.4650824174188594E-2</c:v>
                </c:pt>
                <c:pt idx="7">
                  <c:v>0.18466842946359999</c:v>
                </c:pt>
                <c:pt idx="8">
                  <c:v>2.8453379577694178E-2</c:v>
                </c:pt>
                <c:pt idx="9">
                  <c:v>9.2439676368853765E-2</c:v>
                </c:pt>
                <c:pt idx="10">
                  <c:v>2.3284058367913123E-2</c:v>
                </c:pt>
                <c:pt idx="11">
                  <c:v>1.7948890228894274E-2</c:v>
                </c:pt>
                <c:pt idx="12">
                  <c:v>1.7313568915352576E-2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B-4825-A0C8-8FB6051E16F7}"/>
            </c:ext>
          </c:extLst>
        </c:ser>
        <c:ser>
          <c:idx val="2"/>
          <c:order val="2"/>
          <c:tx>
            <c:strRef>
              <c:f>general!$E$3</c:f>
              <c:strCache>
                <c:ptCount val="1"/>
                <c:pt idx="0">
                  <c:v>0.64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general!$E$4:$E$16</c:f>
              <c:numCache>
                <c:formatCode>General</c:formatCode>
                <c:ptCount val="13"/>
                <c:pt idx="0">
                  <c:v>9.1204826595740057E-2</c:v>
                </c:pt>
                <c:pt idx="1">
                  <c:v>3.3279386305554229E-2</c:v>
                </c:pt>
                <c:pt idx="2">
                  <c:v>0.21371158443722257</c:v>
                </c:pt>
                <c:pt idx="3">
                  <c:v>1.0392757503048078E-2</c:v>
                </c:pt>
                <c:pt idx="4">
                  <c:v>1.2261739986896513E-2</c:v>
                </c:pt>
                <c:pt idx="5">
                  <c:v>0.19926195259314539</c:v>
                </c:pt>
                <c:pt idx="6">
                  <c:v>8.7446251838610156E-2</c:v>
                </c:pt>
                <c:pt idx="7">
                  <c:v>0.18232721403374799</c:v>
                </c:pt>
                <c:pt idx="8">
                  <c:v>2.5369566066307116E-2</c:v>
                </c:pt>
                <c:pt idx="9">
                  <c:v>9.0593041267306787E-2</c:v>
                </c:pt>
                <c:pt idx="10">
                  <c:v>2.1511196539290935E-2</c:v>
                </c:pt>
                <c:pt idx="11">
                  <c:v>1.466006864144607E-2</c:v>
                </c:pt>
                <c:pt idx="12">
                  <c:v>1.7980414191684058E-2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B-4825-A0C8-8FB6051E16F7}"/>
            </c:ext>
          </c:extLst>
        </c:ser>
        <c:ser>
          <c:idx val="3"/>
          <c:order val="3"/>
          <c:tx>
            <c:strRef>
              <c:f>general!$F$3</c:f>
              <c:strCache>
                <c:ptCount val="1"/>
                <c:pt idx="0">
                  <c:v>0.66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general!$F$4:$F$16</c:f>
              <c:numCache>
                <c:formatCode>General</c:formatCode>
                <c:ptCount val="13"/>
                <c:pt idx="0">
                  <c:v>8.7693509183462678E-2</c:v>
                </c:pt>
                <c:pt idx="1">
                  <c:v>3.3355309883505414E-2</c:v>
                </c:pt>
                <c:pt idx="2">
                  <c:v>0.21167662213821459</c:v>
                </c:pt>
                <c:pt idx="3">
                  <c:v>9.8498331951545944E-3</c:v>
                </c:pt>
                <c:pt idx="4">
                  <c:v>1.4150823271751833E-2</c:v>
                </c:pt>
                <c:pt idx="5">
                  <c:v>0.20198949087029966</c:v>
                </c:pt>
                <c:pt idx="6">
                  <c:v>9.0124134496487041E-2</c:v>
                </c:pt>
                <c:pt idx="7">
                  <c:v>0.18174654152294664</c:v>
                </c:pt>
                <c:pt idx="8">
                  <c:v>2.2974926925612676E-2</c:v>
                </c:pt>
                <c:pt idx="9">
                  <c:v>9.4231297059763949E-2</c:v>
                </c:pt>
                <c:pt idx="10">
                  <c:v>1.9785969151714593E-2</c:v>
                </c:pt>
                <c:pt idx="11">
                  <c:v>1.2672357932921532E-2</c:v>
                </c:pt>
                <c:pt idx="12">
                  <c:v>1.9749184368164748E-2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B-4825-A0C8-8FB6051E16F7}"/>
            </c:ext>
          </c:extLst>
        </c:ser>
        <c:ser>
          <c:idx val="4"/>
          <c:order val="4"/>
          <c:tx>
            <c:strRef>
              <c:f>general!$G$3</c:f>
              <c:strCache>
                <c:ptCount val="1"/>
                <c:pt idx="0">
                  <c:v>0.68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general!$G$4:$G$16</c:f>
              <c:numCache>
                <c:formatCode>General</c:formatCode>
                <c:ptCount val="13"/>
                <c:pt idx="0">
                  <c:v>9.5199942797530773E-2</c:v>
                </c:pt>
                <c:pt idx="1">
                  <c:v>3.2156221410224214E-2</c:v>
                </c:pt>
                <c:pt idx="2">
                  <c:v>0.20303393096468667</c:v>
                </c:pt>
                <c:pt idx="3">
                  <c:v>9.1102265914478654E-3</c:v>
                </c:pt>
                <c:pt idx="4">
                  <c:v>1.3422412734149692E-2</c:v>
                </c:pt>
                <c:pt idx="5">
                  <c:v>0.19787104143328857</c:v>
                </c:pt>
                <c:pt idx="6">
                  <c:v>8.8573990110573111E-2</c:v>
                </c:pt>
                <c:pt idx="7">
                  <c:v>0.19132575889525902</c:v>
                </c:pt>
                <c:pt idx="8">
                  <c:v>2.4857406344707216E-2</c:v>
                </c:pt>
                <c:pt idx="9">
                  <c:v>9.6389827494220176E-2</c:v>
                </c:pt>
                <c:pt idx="10">
                  <c:v>1.7067236735719093E-2</c:v>
                </c:pt>
                <c:pt idx="11">
                  <c:v>1.0305611525564189E-2</c:v>
                </c:pt>
                <c:pt idx="12">
                  <c:v>2.0686392962629554E-2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DB-4825-A0C8-8FB6051E16F7}"/>
            </c:ext>
          </c:extLst>
        </c:ser>
        <c:ser>
          <c:idx val="5"/>
          <c:order val="5"/>
          <c:tx>
            <c:strRef>
              <c:f>general!$H$3</c:f>
              <c:strCache>
                <c:ptCount val="1"/>
                <c:pt idx="0">
                  <c:v>0.7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general!$H$4:$H$16</c:f>
              <c:numCache>
                <c:formatCode>General</c:formatCode>
                <c:ptCount val="13"/>
                <c:pt idx="0">
                  <c:v>9.9243443911651227E-2</c:v>
                </c:pt>
                <c:pt idx="1">
                  <c:v>3.7303732912844827E-2</c:v>
                </c:pt>
                <c:pt idx="2">
                  <c:v>0.19358554947858345</c:v>
                </c:pt>
                <c:pt idx="3">
                  <c:v>5.0906505181843569E-3</c:v>
                </c:pt>
                <c:pt idx="4">
                  <c:v>1.3745910741618895E-2</c:v>
                </c:pt>
                <c:pt idx="5">
                  <c:v>0.1935185976123579</c:v>
                </c:pt>
                <c:pt idx="6">
                  <c:v>0.1003954777477392</c:v>
                </c:pt>
                <c:pt idx="7">
                  <c:v>0.18688112811585902</c:v>
                </c:pt>
                <c:pt idx="8">
                  <c:v>2.3380053422971878E-2</c:v>
                </c:pt>
                <c:pt idx="9">
                  <c:v>0.10544226325012061</c:v>
                </c:pt>
                <c:pt idx="10">
                  <c:v>1.1956679833867024E-2</c:v>
                </c:pt>
                <c:pt idx="11">
                  <c:v>6.6236173862453162E-3</c:v>
                </c:pt>
                <c:pt idx="12">
                  <c:v>2.2832895067956143E-2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DB-4825-A0C8-8FB6051E16F7}"/>
            </c:ext>
          </c:extLst>
        </c:ser>
        <c:ser>
          <c:idx val="6"/>
          <c:order val="6"/>
          <c:tx>
            <c:strRef>
              <c:f>general!$I$3</c:f>
              <c:strCache>
                <c:ptCount val="1"/>
                <c:pt idx="0">
                  <c:v>0.72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general!$I$4:$I$16</c:f>
              <c:numCache>
                <c:formatCode>General</c:formatCode>
                <c:ptCount val="13"/>
                <c:pt idx="0">
                  <c:v>0.10180225475218996</c:v>
                </c:pt>
                <c:pt idx="1">
                  <c:v>3.3753601608879781E-2</c:v>
                </c:pt>
                <c:pt idx="2">
                  <c:v>0.19463835657055931</c:v>
                </c:pt>
                <c:pt idx="3">
                  <c:v>4.8504889163911062E-3</c:v>
                </c:pt>
                <c:pt idx="4">
                  <c:v>1.4632039654761213E-2</c:v>
                </c:pt>
                <c:pt idx="5">
                  <c:v>0.18792824499319966</c:v>
                </c:pt>
                <c:pt idx="6">
                  <c:v>9.8862955156343663E-2</c:v>
                </c:pt>
                <c:pt idx="7">
                  <c:v>0.19691695834058487</c:v>
                </c:pt>
                <c:pt idx="8">
                  <c:v>2.8032925312139436E-2</c:v>
                </c:pt>
                <c:pt idx="9">
                  <c:v>0.10365543158071149</c:v>
                </c:pt>
                <c:pt idx="10">
                  <c:v>1.2092381670630852E-2</c:v>
                </c:pt>
                <c:pt idx="11">
                  <c:v>4.6861201889918068E-3</c:v>
                </c:pt>
                <c:pt idx="12">
                  <c:v>1.8148241254616827E-2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DB-4825-A0C8-8FB6051E16F7}"/>
            </c:ext>
          </c:extLst>
        </c:ser>
        <c:ser>
          <c:idx val="7"/>
          <c:order val="7"/>
          <c:tx>
            <c:strRef>
              <c:f>general!$J$3</c:f>
              <c:strCache>
                <c:ptCount val="1"/>
                <c:pt idx="0">
                  <c:v>0.74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general!$J$4:$J$16</c:f>
              <c:numCache>
                <c:formatCode>General</c:formatCode>
                <c:ptCount val="13"/>
                <c:pt idx="0">
                  <c:v>9.2451201421423615E-2</c:v>
                </c:pt>
                <c:pt idx="1">
                  <c:v>3.7756564445971655E-2</c:v>
                </c:pt>
                <c:pt idx="2">
                  <c:v>0.17044930730742475</c:v>
                </c:pt>
                <c:pt idx="3">
                  <c:v>3.2560322502241928E-3</c:v>
                </c:pt>
                <c:pt idx="4">
                  <c:v>9.8477165869071473E-3</c:v>
                </c:pt>
                <c:pt idx="5">
                  <c:v>0.20455174032199941</c:v>
                </c:pt>
                <c:pt idx="6">
                  <c:v>0.10085318940301885</c:v>
                </c:pt>
                <c:pt idx="7">
                  <c:v>0.21628518987235684</c:v>
                </c:pt>
                <c:pt idx="8">
                  <c:v>3.0305823981494676E-2</c:v>
                </c:pt>
                <c:pt idx="9">
                  <c:v>0.10416369838329828</c:v>
                </c:pt>
                <c:pt idx="10">
                  <c:v>1.2634410855117042E-2</c:v>
                </c:pt>
                <c:pt idx="11">
                  <c:v>0</c:v>
                </c:pt>
                <c:pt idx="12">
                  <c:v>1.7445125170763597E-2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DB-4825-A0C8-8FB6051E16F7}"/>
            </c:ext>
          </c:extLst>
        </c:ser>
        <c:ser>
          <c:idx val="8"/>
          <c:order val="8"/>
          <c:tx>
            <c:strRef>
              <c:f>general!$K$3</c:f>
              <c:strCache>
                <c:ptCount val="1"/>
                <c:pt idx="0">
                  <c:v>0.76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general!$K$4:$K$16</c:f>
              <c:numCache>
                <c:formatCode>General</c:formatCode>
                <c:ptCount val="13"/>
                <c:pt idx="0">
                  <c:v>0.10114594938723541</c:v>
                </c:pt>
                <c:pt idx="1">
                  <c:v>3.5964772666984987E-2</c:v>
                </c:pt>
                <c:pt idx="2">
                  <c:v>0.15614621465329726</c:v>
                </c:pt>
                <c:pt idx="3">
                  <c:v>4.1222346013051097E-3</c:v>
                </c:pt>
                <c:pt idx="4">
                  <c:v>1.2467504907422147E-2</c:v>
                </c:pt>
                <c:pt idx="5">
                  <c:v>0.2074274497320813</c:v>
                </c:pt>
                <c:pt idx="6">
                  <c:v>9.9915114860204782E-2</c:v>
                </c:pt>
                <c:pt idx="7">
                  <c:v>0.23015544591225001</c:v>
                </c:pt>
                <c:pt idx="8">
                  <c:v>2.247864608202027E-2</c:v>
                </c:pt>
                <c:pt idx="9">
                  <c:v>0.10798981378322459</c:v>
                </c:pt>
                <c:pt idx="10">
                  <c:v>4.0691813889331E-3</c:v>
                </c:pt>
                <c:pt idx="11">
                  <c:v>0</c:v>
                </c:pt>
                <c:pt idx="12">
                  <c:v>1.811767202504112E-2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DB-4825-A0C8-8FB6051E16F7}"/>
            </c:ext>
          </c:extLst>
        </c:ser>
        <c:ser>
          <c:idx val="9"/>
          <c:order val="9"/>
          <c:tx>
            <c:strRef>
              <c:f>general!$L$3</c:f>
              <c:strCache>
                <c:ptCount val="1"/>
                <c:pt idx="0">
                  <c:v>0.78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general!$L$4:$L$16</c:f>
              <c:numCache>
                <c:formatCode>General</c:formatCode>
                <c:ptCount val="13"/>
                <c:pt idx="0">
                  <c:v>0.10702087286527515</c:v>
                </c:pt>
                <c:pt idx="1">
                  <c:v>3.1456883828800339E-2</c:v>
                </c:pt>
                <c:pt idx="2">
                  <c:v>0.15278656265373533</c:v>
                </c:pt>
                <c:pt idx="3">
                  <c:v>0</c:v>
                </c:pt>
                <c:pt idx="4">
                  <c:v>1.1118139011877153E-2</c:v>
                </c:pt>
                <c:pt idx="5">
                  <c:v>0.20974769836249912</c:v>
                </c:pt>
                <c:pt idx="6">
                  <c:v>0.10526389767376484</c:v>
                </c:pt>
                <c:pt idx="7">
                  <c:v>0.22374024878768711</c:v>
                </c:pt>
                <c:pt idx="8">
                  <c:v>2.4295452948204371E-2</c:v>
                </c:pt>
                <c:pt idx="9">
                  <c:v>0.11601658584580786</c:v>
                </c:pt>
                <c:pt idx="10">
                  <c:v>0</c:v>
                </c:pt>
                <c:pt idx="11">
                  <c:v>0</c:v>
                </c:pt>
                <c:pt idx="12">
                  <c:v>1.8553658022348728E-2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DB-4825-A0C8-8FB6051E16F7}"/>
            </c:ext>
          </c:extLst>
        </c:ser>
        <c:ser>
          <c:idx val="10"/>
          <c:order val="10"/>
          <c:tx>
            <c:strRef>
              <c:f>general!$M$3</c:f>
              <c:strCache>
                <c:ptCount val="1"/>
                <c:pt idx="0">
                  <c:v>0.8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general!$M$4:$M$16</c:f>
              <c:numCache>
                <c:formatCode>General</c:formatCode>
                <c:ptCount val="13"/>
                <c:pt idx="0">
                  <c:v>9.6031433464916716E-2</c:v>
                </c:pt>
                <c:pt idx="1">
                  <c:v>3.3778152276453303E-2</c:v>
                </c:pt>
                <c:pt idx="2">
                  <c:v>0.14133152597016022</c:v>
                </c:pt>
                <c:pt idx="3">
                  <c:v>0</c:v>
                </c:pt>
                <c:pt idx="4">
                  <c:v>0</c:v>
                </c:pt>
                <c:pt idx="5">
                  <c:v>0.20830165868312836</c:v>
                </c:pt>
                <c:pt idx="6">
                  <c:v>9.3915719480138868E-2</c:v>
                </c:pt>
                <c:pt idx="7">
                  <c:v>0.2411272817196817</c:v>
                </c:pt>
                <c:pt idx="8">
                  <c:v>3.1662438291675449E-2</c:v>
                </c:pt>
                <c:pt idx="9">
                  <c:v>0.13682532995063337</c:v>
                </c:pt>
                <c:pt idx="10">
                  <c:v>0</c:v>
                </c:pt>
                <c:pt idx="11">
                  <c:v>0</c:v>
                </c:pt>
                <c:pt idx="12">
                  <c:v>1.7026460163212225E-2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DB-4825-A0C8-8FB6051E1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884927"/>
        <c:axId val="437601215"/>
      </c:barChart>
      <c:catAx>
        <c:axId val="1578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601215"/>
        <c:crosses val="autoZero"/>
        <c:auto val="1"/>
        <c:lblAlgn val="ctr"/>
        <c:lblOffset val="100"/>
        <c:noMultiLvlLbl val="0"/>
      </c:catAx>
      <c:valAx>
        <c:axId val="43760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88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BERT_Sim with different sim_threshold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general!$C$3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general!$C$4:$C$16</c:f>
              <c:numCache>
                <c:formatCode>General</c:formatCode>
                <c:ptCount val="13"/>
                <c:pt idx="0">
                  <c:v>8.9852524379803816E-2</c:v>
                </c:pt>
                <c:pt idx="1">
                  <c:v>3.4983859409019324E-2</c:v>
                </c:pt>
                <c:pt idx="2">
                  <c:v>0.21115601996243566</c:v>
                </c:pt>
                <c:pt idx="3">
                  <c:v>1.1345494902649703E-2</c:v>
                </c:pt>
                <c:pt idx="4">
                  <c:v>9.4651214443798315E-3</c:v>
                </c:pt>
                <c:pt idx="5">
                  <c:v>0.20212289563136632</c:v>
                </c:pt>
                <c:pt idx="6">
                  <c:v>8.1178798645498568E-2</c:v>
                </c:pt>
                <c:pt idx="7">
                  <c:v>0.18499467730678193</c:v>
                </c:pt>
                <c:pt idx="8">
                  <c:v>2.7561559588646745E-2</c:v>
                </c:pt>
                <c:pt idx="9">
                  <c:v>9.0837995332131022E-2</c:v>
                </c:pt>
                <c:pt idx="10">
                  <c:v>2.2747774783588134E-2</c:v>
                </c:pt>
                <c:pt idx="11">
                  <c:v>1.8233728408230804E-2</c:v>
                </c:pt>
                <c:pt idx="12">
                  <c:v>1.5519550205468179E-2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F-4C19-AB31-1391CD12BD86}"/>
            </c:ext>
          </c:extLst>
        </c:ser>
        <c:ser>
          <c:idx val="1"/>
          <c:order val="1"/>
          <c:tx>
            <c:strRef>
              <c:f>general!$H$3</c:f>
              <c:strCache>
                <c:ptCount val="1"/>
                <c:pt idx="0">
                  <c:v>0.7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general!$H$4:$H$16</c:f>
              <c:numCache>
                <c:formatCode>General</c:formatCode>
                <c:ptCount val="13"/>
                <c:pt idx="0">
                  <c:v>9.9243443911651227E-2</c:v>
                </c:pt>
                <c:pt idx="1">
                  <c:v>3.7303732912844827E-2</c:v>
                </c:pt>
                <c:pt idx="2">
                  <c:v>0.19358554947858345</c:v>
                </c:pt>
                <c:pt idx="3">
                  <c:v>5.0906505181843569E-3</c:v>
                </c:pt>
                <c:pt idx="4">
                  <c:v>1.3745910741618895E-2</c:v>
                </c:pt>
                <c:pt idx="5">
                  <c:v>0.1935185976123579</c:v>
                </c:pt>
                <c:pt idx="6">
                  <c:v>0.1003954777477392</c:v>
                </c:pt>
                <c:pt idx="7">
                  <c:v>0.18688112811585902</c:v>
                </c:pt>
                <c:pt idx="8">
                  <c:v>2.3380053422971878E-2</c:v>
                </c:pt>
                <c:pt idx="9">
                  <c:v>0.10544226325012061</c:v>
                </c:pt>
                <c:pt idx="10">
                  <c:v>1.1956679833867024E-2</c:v>
                </c:pt>
                <c:pt idx="11">
                  <c:v>6.6236173862453162E-3</c:v>
                </c:pt>
                <c:pt idx="12">
                  <c:v>2.2832895067956143E-2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F-4C19-AB31-1391CD12BD86}"/>
            </c:ext>
          </c:extLst>
        </c:ser>
        <c:ser>
          <c:idx val="2"/>
          <c:order val="2"/>
          <c:tx>
            <c:strRef>
              <c:f>general!$M$3</c:f>
              <c:strCache>
                <c:ptCount val="1"/>
                <c:pt idx="0">
                  <c:v>0.8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general!$B$4:$B$16</c:f>
              <c:strCache>
                <c:ptCount val="13"/>
                <c:pt idx="0">
                  <c:v>SAREF4BLDG</c:v>
                </c:pt>
                <c:pt idx="1">
                  <c:v>SAREF4ENER</c:v>
                </c:pt>
                <c:pt idx="2">
                  <c:v>SARGON</c:v>
                </c:pt>
                <c:pt idx="3">
                  <c:v>BONSAI</c:v>
                </c:pt>
                <c:pt idx="4">
                  <c:v>BCOM</c:v>
                </c:pt>
                <c:pt idx="5">
                  <c:v>SBEO</c:v>
                </c:pt>
                <c:pt idx="6">
                  <c:v>BIMERR</c:v>
                </c:pt>
                <c:pt idx="7">
                  <c:v>EM-KPI</c:v>
                </c:pt>
                <c:pt idx="8">
                  <c:v>FSO</c:v>
                </c:pt>
                <c:pt idx="9">
                  <c:v>RESPOND</c:v>
                </c:pt>
                <c:pt idx="10">
                  <c:v>SSN</c:v>
                </c:pt>
                <c:pt idx="11">
                  <c:v>SOSA</c:v>
                </c:pt>
                <c:pt idx="12">
                  <c:v>BTO</c:v>
                </c:pt>
              </c:strCache>
            </c:strRef>
          </c:cat>
          <c:val>
            <c:numRef>
              <c:f>general!$M$4:$M$16</c:f>
              <c:numCache>
                <c:formatCode>General</c:formatCode>
                <c:ptCount val="13"/>
                <c:pt idx="0">
                  <c:v>9.6031433464916716E-2</c:v>
                </c:pt>
                <c:pt idx="1">
                  <c:v>3.3778152276453303E-2</c:v>
                </c:pt>
                <c:pt idx="2">
                  <c:v>0.14133152597016022</c:v>
                </c:pt>
                <c:pt idx="3">
                  <c:v>0</c:v>
                </c:pt>
                <c:pt idx="4">
                  <c:v>0</c:v>
                </c:pt>
                <c:pt idx="5">
                  <c:v>0.20830165868312836</c:v>
                </c:pt>
                <c:pt idx="6">
                  <c:v>9.3915719480138868E-2</c:v>
                </c:pt>
                <c:pt idx="7">
                  <c:v>0.2411272817196817</c:v>
                </c:pt>
                <c:pt idx="8">
                  <c:v>3.1662438291675449E-2</c:v>
                </c:pt>
                <c:pt idx="9">
                  <c:v>0.13682532995063337</c:v>
                </c:pt>
                <c:pt idx="10">
                  <c:v>0</c:v>
                </c:pt>
                <c:pt idx="11">
                  <c:v>0</c:v>
                </c:pt>
                <c:pt idx="12">
                  <c:v>1.7026460163212225E-2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BF-4C19-AB31-1391CD12B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798911"/>
        <c:axId val="150698415"/>
      </c:barChart>
      <c:catAx>
        <c:axId val="4287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98415"/>
        <c:crosses val="autoZero"/>
        <c:auto val="1"/>
        <c:lblAlgn val="ctr"/>
        <c:lblOffset val="100"/>
        <c:noMultiLvlLbl val="0"/>
      </c:catAx>
      <c:valAx>
        <c:axId val="15069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79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31888477884995009"/>
          <c:y val="0.83322029755779803"/>
          <c:w val="0.36737136428195355"/>
          <c:h val="0.15388936108363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21143</xdr:colOff>
      <xdr:row>20</xdr:row>
      <xdr:rowOff>32954</xdr:rowOff>
    </xdr:from>
    <xdr:to>
      <xdr:col>17</xdr:col>
      <xdr:colOff>480573</xdr:colOff>
      <xdr:row>46</xdr:row>
      <xdr:rowOff>143115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A32DF87-5EF2-9FA0-B5EB-EC12263FB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546656</xdr:colOff>
      <xdr:row>20</xdr:row>
      <xdr:rowOff>15961</xdr:rowOff>
    </xdr:from>
    <xdr:to>
      <xdr:col>30</xdr:col>
      <xdr:colOff>32978</xdr:colOff>
      <xdr:row>46</xdr:row>
      <xdr:rowOff>130644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D41FC2B-1FD3-69B1-34BD-6E1D43145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346D-B51A-4C91-93D7-F82BFED69A46}">
  <dimension ref="B1:M16"/>
  <sheetViews>
    <sheetView tabSelected="1" topLeftCell="A16" zoomScale="70" zoomScaleNormal="70" workbookViewId="0">
      <selection activeCell="AA49" sqref="AA49"/>
    </sheetView>
  </sheetViews>
  <sheetFormatPr defaultRowHeight="14.4" x14ac:dyDescent="0.25"/>
  <cols>
    <col min="2" max="2" width="22.109375" customWidth="1"/>
  </cols>
  <sheetData>
    <row r="1" spans="2:13" ht="15" thickBot="1" x14ac:dyDescent="0.3">
      <c r="B1" s="3" t="s">
        <v>0</v>
      </c>
      <c r="C1" s="4" t="s">
        <v>17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2:13" ht="15.6" thickTop="1" thickBot="1" x14ac:dyDescent="0.3">
      <c r="B2" s="3"/>
      <c r="C2" s="5" t="s">
        <v>18</v>
      </c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ht="15" thickTop="1" x14ac:dyDescent="0.25">
      <c r="B3" s="3"/>
      <c r="C3" s="2">
        <v>0.6</v>
      </c>
      <c r="D3" s="2">
        <v>0.62</v>
      </c>
      <c r="E3" s="2">
        <v>0.64</v>
      </c>
      <c r="F3" s="2">
        <v>0.66</v>
      </c>
      <c r="G3" s="2">
        <v>0.68</v>
      </c>
      <c r="H3" s="2">
        <v>0.7</v>
      </c>
      <c r="I3" s="2">
        <v>0.72</v>
      </c>
      <c r="J3" s="2">
        <v>0.74</v>
      </c>
      <c r="K3" s="2">
        <v>0.76</v>
      </c>
      <c r="L3" s="2">
        <v>0.78</v>
      </c>
      <c r="M3" s="2">
        <v>0.8</v>
      </c>
    </row>
    <row r="4" spans="2:13" x14ac:dyDescent="0.25">
      <c r="B4" t="s">
        <v>2</v>
      </c>
      <c r="C4">
        <f>'0.6'!D2</f>
        <v>8.9852524379803816E-2</v>
      </c>
      <c r="D4">
        <f>'0.62'!D2</f>
        <v>9.0242842429257772E-2</v>
      </c>
      <c r="E4">
        <f>'0.64'!D2</f>
        <v>9.1204826595740057E-2</v>
      </c>
      <c r="F4">
        <f>'0.66'!D2</f>
        <v>8.7693509183462678E-2</v>
      </c>
      <c r="G4">
        <f>'0.68'!D2</f>
        <v>9.5199942797530773E-2</v>
      </c>
      <c r="H4">
        <f>'0.7'!D2</f>
        <v>9.9243443911651227E-2</v>
      </c>
      <c r="I4">
        <f>'0.72'!D2</f>
        <v>0.10180225475218996</v>
      </c>
      <c r="J4">
        <f>'0.74'!D2</f>
        <v>9.2451201421423615E-2</v>
      </c>
      <c r="K4">
        <f>'0.76'!D2</f>
        <v>0.10114594938723541</v>
      </c>
      <c r="L4">
        <f>'0.78'!D2</f>
        <v>0.10702087286527515</v>
      </c>
      <c r="M4">
        <f>'0.8'!D2</f>
        <v>9.6031433464916716E-2</v>
      </c>
    </row>
    <row r="5" spans="2:13" x14ac:dyDescent="0.25">
      <c r="B5" t="s">
        <v>3</v>
      </c>
      <c r="C5">
        <f>'0.6'!D3</f>
        <v>3.4983859409019324E-2</v>
      </c>
      <c r="D5">
        <f>'0.62'!D3</f>
        <v>3.4132148534210816E-2</v>
      </c>
      <c r="E5">
        <f>'0.64'!D3</f>
        <v>3.3279386305554229E-2</v>
      </c>
      <c r="F5">
        <f>'0.66'!D3</f>
        <v>3.3355309883505414E-2</v>
      </c>
      <c r="G5">
        <f>'0.68'!D3</f>
        <v>3.2156221410224214E-2</v>
      </c>
      <c r="H5">
        <f>'0.7'!D3</f>
        <v>3.7303732912844827E-2</v>
      </c>
      <c r="I5">
        <f>'0.72'!D3</f>
        <v>3.3753601608879781E-2</v>
      </c>
      <c r="J5">
        <f>'0.74'!D3</f>
        <v>3.7756564445971655E-2</v>
      </c>
      <c r="K5">
        <f>'0.76'!D3</f>
        <v>3.5964772666984987E-2</v>
      </c>
      <c r="L5">
        <f>'0.78'!D3</f>
        <v>3.1456883828800339E-2</v>
      </c>
      <c r="M5">
        <f>'0.8'!D3</f>
        <v>3.3778152276453303E-2</v>
      </c>
    </row>
    <row r="6" spans="2:13" x14ac:dyDescent="0.25">
      <c r="B6" t="s">
        <v>4</v>
      </c>
      <c r="C6">
        <f>'0.6'!D4</f>
        <v>0.21115601996243566</v>
      </c>
      <c r="D6">
        <f>'0.62'!D4</f>
        <v>0.20723466830188902</v>
      </c>
      <c r="E6">
        <f>'0.64'!D4</f>
        <v>0.21371158443722257</v>
      </c>
      <c r="F6">
        <f>'0.66'!D4</f>
        <v>0.21167662213821459</v>
      </c>
      <c r="G6">
        <f>'0.68'!D4</f>
        <v>0.20303393096468667</v>
      </c>
      <c r="H6">
        <f>'0.7'!D4</f>
        <v>0.19358554947858345</v>
      </c>
      <c r="I6">
        <f>'0.72'!D4</f>
        <v>0.19463835657055931</v>
      </c>
      <c r="J6">
        <f>'0.74'!D4</f>
        <v>0.17044930730742475</v>
      </c>
      <c r="K6">
        <f>'0.76'!D4</f>
        <v>0.15614621465329726</v>
      </c>
      <c r="L6">
        <f>'0.78'!D4</f>
        <v>0.15278656265373533</v>
      </c>
      <c r="M6">
        <f>'0.8'!D4</f>
        <v>0.14133152597016022</v>
      </c>
    </row>
    <row r="7" spans="2:13" x14ac:dyDescent="0.25">
      <c r="B7" t="s">
        <v>5</v>
      </c>
      <c r="C7">
        <f>'0.6'!D5</f>
        <v>1.1345494902649703E-2</v>
      </c>
      <c r="D7">
        <f>'0.62'!D5</f>
        <v>1.0313978004444698E-2</v>
      </c>
      <c r="E7">
        <f>'0.64'!D5</f>
        <v>1.0392757503048078E-2</v>
      </c>
      <c r="F7">
        <f>'0.66'!D5</f>
        <v>9.8498331951545944E-3</v>
      </c>
      <c r="G7">
        <f>'0.68'!D5</f>
        <v>9.1102265914478654E-3</v>
      </c>
      <c r="H7">
        <f>'0.7'!D5</f>
        <v>5.0906505181843569E-3</v>
      </c>
      <c r="I7">
        <f>'0.72'!D5</f>
        <v>4.8504889163911062E-3</v>
      </c>
      <c r="J7">
        <f>'0.74'!D5</f>
        <v>3.2560322502241928E-3</v>
      </c>
      <c r="K7">
        <f>'0.76'!D5</f>
        <v>4.1222346013051097E-3</v>
      </c>
      <c r="L7">
        <f>'0.78'!D5</f>
        <v>0</v>
      </c>
      <c r="M7">
        <f>'0.8'!D5</f>
        <v>0</v>
      </c>
    </row>
    <row r="8" spans="2:13" x14ac:dyDescent="0.25">
      <c r="B8" t="s">
        <v>6</v>
      </c>
      <c r="C8">
        <f>'0.6'!D6</f>
        <v>9.4651214443798315E-3</v>
      </c>
      <c r="D8">
        <f>'0.62'!D6</f>
        <v>1.0683093734132914E-2</v>
      </c>
      <c r="E8">
        <f>'0.64'!D6</f>
        <v>1.2261739986896513E-2</v>
      </c>
      <c r="F8">
        <f>'0.66'!D6</f>
        <v>1.4150823271751833E-2</v>
      </c>
      <c r="G8">
        <f>'0.68'!D6</f>
        <v>1.3422412734149692E-2</v>
      </c>
      <c r="H8">
        <f>'0.7'!D6</f>
        <v>1.3745910741618895E-2</v>
      </c>
      <c r="I8">
        <f>'0.72'!D6</f>
        <v>1.4632039654761213E-2</v>
      </c>
      <c r="J8">
        <f>'0.74'!D6</f>
        <v>9.8477165869071473E-3</v>
      </c>
      <c r="K8">
        <f>'0.76'!D6</f>
        <v>1.2467504907422147E-2</v>
      </c>
      <c r="L8">
        <f>'0.78'!D6</f>
        <v>1.1118139011877153E-2</v>
      </c>
      <c r="M8">
        <f>'0.8'!D6</f>
        <v>0</v>
      </c>
    </row>
    <row r="9" spans="2:13" x14ac:dyDescent="0.25">
      <c r="B9" t="s">
        <v>7</v>
      </c>
      <c r="C9">
        <f>'0.6'!D7</f>
        <v>0.20212289563136632</v>
      </c>
      <c r="D9">
        <f>'0.62'!D7</f>
        <v>0.19863444189956816</v>
      </c>
      <c r="E9">
        <f>'0.64'!D7</f>
        <v>0.19926195259314539</v>
      </c>
      <c r="F9">
        <f>'0.66'!D7</f>
        <v>0.20198949087029966</v>
      </c>
      <c r="G9">
        <f>'0.68'!D7</f>
        <v>0.19787104143328857</v>
      </c>
      <c r="H9">
        <f>'0.7'!D7</f>
        <v>0.1935185976123579</v>
      </c>
      <c r="I9">
        <f>'0.72'!D7</f>
        <v>0.18792824499319966</v>
      </c>
      <c r="J9">
        <f>'0.74'!D7</f>
        <v>0.20455174032199941</v>
      </c>
      <c r="K9">
        <f>'0.76'!D7</f>
        <v>0.2074274497320813</v>
      </c>
      <c r="L9">
        <f>'0.78'!D7</f>
        <v>0.20974769836249912</v>
      </c>
      <c r="M9">
        <f>'0.8'!D7</f>
        <v>0.20830165868312836</v>
      </c>
    </row>
    <row r="10" spans="2:13" x14ac:dyDescent="0.25">
      <c r="B10" t="s">
        <v>8</v>
      </c>
      <c r="C10">
        <f>'0.6'!D8</f>
        <v>8.1178798645498568E-2</v>
      </c>
      <c r="D10">
        <f>'0.62'!D8</f>
        <v>8.4650824174188594E-2</v>
      </c>
      <c r="E10">
        <f>'0.64'!D8</f>
        <v>8.7446251838610156E-2</v>
      </c>
      <c r="F10">
        <f>'0.66'!D8</f>
        <v>9.0124134496487041E-2</v>
      </c>
      <c r="G10">
        <f>'0.68'!D8</f>
        <v>8.8573990110573111E-2</v>
      </c>
      <c r="H10">
        <f>'0.7'!D8</f>
        <v>0.1003954777477392</v>
      </c>
      <c r="I10">
        <f>'0.72'!D8</f>
        <v>9.8862955156343663E-2</v>
      </c>
      <c r="J10">
        <f>'0.74'!D8</f>
        <v>0.10085318940301885</v>
      </c>
      <c r="K10">
        <f>'0.76'!D8</f>
        <v>9.9915114860204782E-2</v>
      </c>
      <c r="L10">
        <f>'0.78'!D8</f>
        <v>0.10526389767376484</v>
      </c>
      <c r="M10">
        <f>'0.8'!D8</f>
        <v>9.3915719480138868E-2</v>
      </c>
    </row>
    <row r="11" spans="2:13" x14ac:dyDescent="0.25">
      <c r="B11" t="s">
        <v>9</v>
      </c>
      <c r="C11">
        <f>'0.6'!D9</f>
        <v>0.18499467730678193</v>
      </c>
      <c r="D11">
        <f>'0.62'!D9</f>
        <v>0.18466842946359999</v>
      </c>
      <c r="E11">
        <f>'0.64'!D9</f>
        <v>0.18232721403374799</v>
      </c>
      <c r="F11">
        <f>'0.66'!D9</f>
        <v>0.18174654152294664</v>
      </c>
      <c r="G11">
        <f>'0.68'!D9</f>
        <v>0.19132575889525902</v>
      </c>
      <c r="H11">
        <f>'0.7'!D9</f>
        <v>0.18688112811585902</v>
      </c>
      <c r="I11">
        <f>'0.72'!D9</f>
        <v>0.19691695834058487</v>
      </c>
      <c r="J11">
        <f>'0.74'!D9</f>
        <v>0.21628518987235684</v>
      </c>
      <c r="K11">
        <f>'0.76'!D9</f>
        <v>0.23015544591225001</v>
      </c>
      <c r="L11">
        <f>'0.78'!D9</f>
        <v>0.22374024878768711</v>
      </c>
      <c r="M11">
        <f>'0.8'!D9</f>
        <v>0.2411272817196817</v>
      </c>
    </row>
    <row r="12" spans="2:13" x14ac:dyDescent="0.25">
      <c r="B12" t="s">
        <v>10</v>
      </c>
      <c r="C12">
        <f>'0.6'!D10</f>
        <v>2.7561559588646745E-2</v>
      </c>
      <c r="D12">
        <f>'0.62'!D10</f>
        <v>2.8453379577694178E-2</v>
      </c>
      <c r="E12">
        <f>'0.64'!D10</f>
        <v>2.5369566066307116E-2</v>
      </c>
      <c r="F12">
        <f>'0.66'!D10</f>
        <v>2.2974926925612676E-2</v>
      </c>
      <c r="G12">
        <f>'0.68'!D10</f>
        <v>2.4857406344707216E-2</v>
      </c>
      <c r="H12">
        <f>'0.7'!D10</f>
        <v>2.3380053422971878E-2</v>
      </c>
      <c r="I12">
        <f>'0.72'!D10</f>
        <v>2.8032925312139436E-2</v>
      </c>
      <c r="J12">
        <f>'0.74'!D10</f>
        <v>3.0305823981494676E-2</v>
      </c>
      <c r="K12">
        <f>'0.76'!D10</f>
        <v>2.247864608202027E-2</v>
      </c>
      <c r="L12">
        <f>'0.78'!D10</f>
        <v>2.4295452948204371E-2</v>
      </c>
      <c r="M12">
        <f>'0.8'!D10</f>
        <v>3.1662438291675449E-2</v>
      </c>
    </row>
    <row r="13" spans="2:13" x14ac:dyDescent="0.25">
      <c r="B13" t="s">
        <v>11</v>
      </c>
      <c r="C13">
        <f>'0.6'!D11</f>
        <v>9.0837995332131022E-2</v>
      </c>
      <c r="D13">
        <f>'0.62'!D11</f>
        <v>9.2439676368853765E-2</v>
      </c>
      <c r="E13">
        <f>'0.64'!D11</f>
        <v>9.0593041267306787E-2</v>
      </c>
      <c r="F13">
        <f>'0.66'!D11</f>
        <v>9.4231297059763949E-2</v>
      </c>
      <c r="G13">
        <f>'0.68'!D11</f>
        <v>9.6389827494220176E-2</v>
      </c>
      <c r="H13">
        <f>'0.7'!D11</f>
        <v>0.10544226325012061</v>
      </c>
      <c r="I13">
        <f>'0.72'!D11</f>
        <v>0.10365543158071149</v>
      </c>
      <c r="J13">
        <f>'0.74'!D11</f>
        <v>0.10416369838329828</v>
      </c>
      <c r="K13">
        <f>'0.76'!D11</f>
        <v>0.10798981378322459</v>
      </c>
      <c r="L13">
        <f>'0.78'!D11</f>
        <v>0.11601658584580786</v>
      </c>
      <c r="M13">
        <f>'0.8'!D11</f>
        <v>0.13682532995063337</v>
      </c>
    </row>
    <row r="14" spans="2:13" x14ac:dyDescent="0.25">
      <c r="B14" t="s">
        <v>12</v>
      </c>
      <c r="C14">
        <f>'0.6'!D12</f>
        <v>2.2747774783588134E-2</v>
      </c>
      <c r="D14">
        <f>'0.62'!D12</f>
        <v>2.3284058367913123E-2</v>
      </c>
      <c r="E14">
        <f>'0.64'!D12</f>
        <v>2.1511196539290935E-2</v>
      </c>
      <c r="F14">
        <f>'0.66'!D12</f>
        <v>1.9785969151714593E-2</v>
      </c>
      <c r="G14">
        <f>'0.68'!D12</f>
        <v>1.7067236735719093E-2</v>
      </c>
      <c r="H14">
        <f>'0.7'!D12</f>
        <v>1.1956679833867024E-2</v>
      </c>
      <c r="I14">
        <f>'0.72'!D12</f>
        <v>1.2092381670630852E-2</v>
      </c>
      <c r="J14">
        <f>'0.74'!D12</f>
        <v>1.2634410855117042E-2</v>
      </c>
      <c r="K14">
        <f>'0.76'!D12</f>
        <v>4.0691813889331E-3</v>
      </c>
      <c r="L14">
        <f>'0.78'!D12</f>
        <v>0</v>
      </c>
      <c r="M14">
        <f>'0.8'!D12</f>
        <v>0</v>
      </c>
    </row>
    <row r="15" spans="2:13" x14ac:dyDescent="0.25">
      <c r="B15" t="s">
        <v>13</v>
      </c>
      <c r="C15">
        <f>'0.6'!D13</f>
        <v>1.8233728408230804E-2</v>
      </c>
      <c r="D15">
        <f>'0.62'!D13</f>
        <v>1.7948890228894274E-2</v>
      </c>
      <c r="E15">
        <f>'0.64'!D13</f>
        <v>1.466006864144607E-2</v>
      </c>
      <c r="F15">
        <f>'0.66'!D13</f>
        <v>1.2672357932921532E-2</v>
      </c>
      <c r="G15">
        <f>'0.68'!D13</f>
        <v>1.0305611525564189E-2</v>
      </c>
      <c r="H15">
        <f>'0.7'!D13</f>
        <v>6.6236173862453162E-3</v>
      </c>
      <c r="I15">
        <f>'0.72'!D13</f>
        <v>4.6861201889918068E-3</v>
      </c>
      <c r="J15">
        <f>'0.74'!D13</f>
        <v>0</v>
      </c>
      <c r="K15">
        <f>'0.76'!D13</f>
        <v>0</v>
      </c>
      <c r="L15">
        <f>'0.78'!D13</f>
        <v>0</v>
      </c>
      <c r="M15">
        <f>'0.8'!D13</f>
        <v>0</v>
      </c>
    </row>
    <row r="16" spans="2:13" x14ac:dyDescent="0.25">
      <c r="B16" t="s">
        <v>14</v>
      </c>
      <c r="C16">
        <f>'0.6'!D14</f>
        <v>1.5519550205468179E-2</v>
      </c>
      <c r="D16">
        <f>'0.62'!D14</f>
        <v>1.7313568915352576E-2</v>
      </c>
      <c r="E16">
        <f>'0.64'!D14</f>
        <v>1.7980414191684058E-2</v>
      </c>
      <c r="F16">
        <f>'0.66'!D14</f>
        <v>1.9749184368164748E-2</v>
      </c>
      <c r="G16">
        <f>'0.68'!D14</f>
        <v>2.0686392962629554E-2</v>
      </c>
      <c r="H16">
        <f>'0.7'!D14</f>
        <v>2.2832895067956143E-2</v>
      </c>
      <c r="I16">
        <f>'0.72'!D14</f>
        <v>1.8148241254616827E-2</v>
      </c>
      <c r="J16">
        <f>'0.74'!D14</f>
        <v>1.7445125170763597E-2</v>
      </c>
      <c r="K16">
        <f>'0.76'!D14</f>
        <v>1.811767202504112E-2</v>
      </c>
      <c r="L16">
        <f>'0.78'!D14</f>
        <v>1.8553658022348728E-2</v>
      </c>
      <c r="M16">
        <f>'0.8'!D14</f>
        <v>1.7026460163212225E-2</v>
      </c>
    </row>
  </sheetData>
  <mergeCells count="3">
    <mergeCell ref="B1:B3"/>
    <mergeCell ref="C1:M1"/>
    <mergeCell ref="C2:M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C16" sqref="C16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125.004</v>
      </c>
      <c r="D2">
        <f>C2/$C$15</f>
        <v>8.9852524379803816E-2</v>
      </c>
    </row>
    <row r="3" spans="1:4" x14ac:dyDescent="0.25">
      <c r="A3" s="1">
        <v>1</v>
      </c>
      <c r="B3" t="s">
        <v>3</v>
      </c>
      <c r="C3">
        <v>48.67</v>
      </c>
      <c r="D3">
        <f t="shared" ref="D3:D14" si="0">C3/$C$15</f>
        <v>3.4983859409019324E-2</v>
      </c>
    </row>
    <row r="4" spans="1:4" x14ac:dyDescent="0.25">
      <c r="A4" s="1">
        <v>2</v>
      </c>
      <c r="B4" t="s">
        <v>4</v>
      </c>
      <c r="C4">
        <v>293.76299999999998</v>
      </c>
      <c r="D4">
        <f t="shared" si="0"/>
        <v>0.21115601996243566</v>
      </c>
    </row>
    <row r="5" spans="1:4" x14ac:dyDescent="0.25">
      <c r="A5" s="1">
        <v>3</v>
      </c>
      <c r="B5" t="s">
        <v>5</v>
      </c>
      <c r="C5">
        <v>15.784000000000001</v>
      </c>
      <c r="D5">
        <f t="shared" si="0"/>
        <v>1.1345494902649703E-2</v>
      </c>
    </row>
    <row r="6" spans="1:4" x14ac:dyDescent="0.25">
      <c r="A6" s="1">
        <v>4</v>
      </c>
      <c r="B6" t="s">
        <v>6</v>
      </c>
      <c r="C6">
        <v>13.167999999999999</v>
      </c>
      <c r="D6">
        <f t="shared" si="0"/>
        <v>9.4651214443798315E-3</v>
      </c>
    </row>
    <row r="7" spans="1:4" x14ac:dyDescent="0.25">
      <c r="A7" s="1">
        <v>5</v>
      </c>
      <c r="B7" t="s">
        <v>7</v>
      </c>
      <c r="C7">
        <v>281.19600000000003</v>
      </c>
      <c r="D7">
        <f t="shared" si="0"/>
        <v>0.20212289563136632</v>
      </c>
    </row>
    <row r="8" spans="1:4" x14ac:dyDescent="0.25">
      <c r="A8" s="1">
        <v>6</v>
      </c>
      <c r="B8" t="s">
        <v>8</v>
      </c>
      <c r="C8">
        <v>112.937</v>
      </c>
      <c r="D8">
        <f t="shared" si="0"/>
        <v>8.1178798645498568E-2</v>
      </c>
    </row>
    <row r="9" spans="1:4" x14ac:dyDescent="0.25">
      <c r="A9" s="1">
        <v>7</v>
      </c>
      <c r="B9" t="s">
        <v>9</v>
      </c>
      <c r="C9">
        <v>257.36700000000002</v>
      </c>
      <c r="D9">
        <f t="shared" si="0"/>
        <v>0.18499467730678193</v>
      </c>
    </row>
    <row r="10" spans="1:4" x14ac:dyDescent="0.25">
      <c r="A10" s="1">
        <v>8</v>
      </c>
      <c r="B10" t="s">
        <v>10</v>
      </c>
      <c r="C10">
        <v>38.344000000000001</v>
      </c>
      <c r="D10">
        <f t="shared" si="0"/>
        <v>2.7561559588646745E-2</v>
      </c>
    </row>
    <row r="11" spans="1:4" x14ac:dyDescent="0.25">
      <c r="A11" s="1">
        <v>9</v>
      </c>
      <c r="B11" t="s">
        <v>11</v>
      </c>
      <c r="C11">
        <v>126.375</v>
      </c>
      <c r="D11">
        <f t="shared" si="0"/>
        <v>9.0837995332131022E-2</v>
      </c>
    </row>
    <row r="12" spans="1:4" x14ac:dyDescent="0.25">
      <c r="A12" s="1">
        <v>10</v>
      </c>
      <c r="B12" t="s">
        <v>12</v>
      </c>
      <c r="C12">
        <v>31.646999999999998</v>
      </c>
      <c r="D12">
        <f t="shared" si="0"/>
        <v>2.2747774783588134E-2</v>
      </c>
    </row>
    <row r="13" spans="1:4" x14ac:dyDescent="0.25">
      <c r="A13" s="1">
        <v>11</v>
      </c>
      <c r="B13" t="s">
        <v>13</v>
      </c>
      <c r="C13">
        <v>25.367000000000001</v>
      </c>
      <c r="D13">
        <f t="shared" si="0"/>
        <v>1.8233728408230804E-2</v>
      </c>
    </row>
    <row r="14" spans="1:4" x14ac:dyDescent="0.25">
      <c r="A14" s="1">
        <v>12</v>
      </c>
      <c r="B14" t="s">
        <v>14</v>
      </c>
      <c r="C14">
        <v>21.591000000000001</v>
      </c>
      <c r="D14">
        <f t="shared" si="0"/>
        <v>1.5519550205468179E-2</v>
      </c>
    </row>
    <row r="15" spans="1:4" x14ac:dyDescent="0.25">
      <c r="A15" t="s">
        <v>16</v>
      </c>
      <c r="C15">
        <f>SUM(C2:C14)</f>
        <v>1391.213</v>
      </c>
    </row>
    <row r="16" spans="1:4" x14ac:dyDescent="0.25">
      <c r="A16" t="s">
        <v>15</v>
      </c>
      <c r="C16" t="str">
        <f ca="1">MID(CELL("filename",A1),FIND("]",CELL("filename",A1))+1,255)</f>
        <v>0.6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I16" sqref="I16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106.10599999999999</v>
      </c>
      <c r="D2">
        <f>C2/C$15</f>
        <v>9.0242842429257772E-2</v>
      </c>
    </row>
    <row r="3" spans="1:4" x14ac:dyDescent="0.25">
      <c r="A3" s="1">
        <v>1</v>
      </c>
      <c r="B3" t="s">
        <v>3</v>
      </c>
      <c r="C3">
        <v>40.131999999999998</v>
      </c>
      <c r="D3">
        <f t="shared" ref="D3:D14" si="0">C3/C$15</f>
        <v>3.4132148534210816E-2</v>
      </c>
    </row>
    <row r="4" spans="1:4" x14ac:dyDescent="0.25">
      <c r="A4" s="1">
        <v>2</v>
      </c>
      <c r="B4" t="s">
        <v>4</v>
      </c>
      <c r="C4">
        <v>243.66300000000001</v>
      </c>
      <c r="D4">
        <f t="shared" si="0"/>
        <v>0.20723466830188902</v>
      </c>
    </row>
    <row r="5" spans="1:4" x14ac:dyDescent="0.25">
      <c r="A5" s="1">
        <v>3</v>
      </c>
      <c r="B5" t="s">
        <v>5</v>
      </c>
      <c r="C5">
        <v>12.127000000000001</v>
      </c>
      <c r="D5">
        <f t="shared" si="0"/>
        <v>1.0313978004444698E-2</v>
      </c>
    </row>
    <row r="6" spans="1:4" x14ac:dyDescent="0.25">
      <c r="A6" s="1">
        <v>4</v>
      </c>
      <c r="B6" t="s">
        <v>6</v>
      </c>
      <c r="C6">
        <v>12.561</v>
      </c>
      <c r="D6">
        <f t="shared" si="0"/>
        <v>1.0683093734132914E-2</v>
      </c>
    </row>
    <row r="7" spans="1:4" x14ac:dyDescent="0.25">
      <c r="A7" s="1">
        <v>5</v>
      </c>
      <c r="B7" t="s">
        <v>7</v>
      </c>
      <c r="C7">
        <v>233.55099999999999</v>
      </c>
      <c r="D7">
        <f t="shared" si="0"/>
        <v>0.19863444189956816</v>
      </c>
    </row>
    <row r="8" spans="1:4" x14ac:dyDescent="0.25">
      <c r="A8" s="1">
        <v>6</v>
      </c>
      <c r="B8" t="s">
        <v>8</v>
      </c>
      <c r="C8">
        <v>99.531000000000006</v>
      </c>
      <c r="D8">
        <f t="shared" si="0"/>
        <v>8.4650824174188594E-2</v>
      </c>
    </row>
    <row r="9" spans="1:4" x14ac:dyDescent="0.25">
      <c r="A9" s="1">
        <v>7</v>
      </c>
      <c r="B9" t="s">
        <v>9</v>
      </c>
      <c r="C9">
        <v>217.13</v>
      </c>
      <c r="D9">
        <f t="shared" si="0"/>
        <v>0.18466842946359999</v>
      </c>
    </row>
    <row r="10" spans="1:4" x14ac:dyDescent="0.25">
      <c r="A10" s="1">
        <v>8</v>
      </c>
      <c r="B10" t="s">
        <v>10</v>
      </c>
      <c r="C10">
        <v>33.454999999999998</v>
      </c>
      <c r="D10">
        <f t="shared" si="0"/>
        <v>2.8453379577694178E-2</v>
      </c>
    </row>
    <row r="11" spans="1:4" x14ac:dyDescent="0.25">
      <c r="A11" s="1">
        <v>9</v>
      </c>
      <c r="B11" t="s">
        <v>11</v>
      </c>
      <c r="C11">
        <v>108.68899999999999</v>
      </c>
      <c r="D11">
        <f t="shared" si="0"/>
        <v>9.2439676368853765E-2</v>
      </c>
    </row>
    <row r="12" spans="1:4" x14ac:dyDescent="0.25">
      <c r="A12" s="1">
        <v>10</v>
      </c>
      <c r="B12" t="s">
        <v>12</v>
      </c>
      <c r="C12">
        <v>27.376999999999999</v>
      </c>
      <c r="D12">
        <f t="shared" si="0"/>
        <v>2.3284058367913123E-2</v>
      </c>
    </row>
    <row r="13" spans="1:4" x14ac:dyDescent="0.25">
      <c r="A13" s="1">
        <v>11</v>
      </c>
      <c r="B13" t="s">
        <v>13</v>
      </c>
      <c r="C13">
        <v>21.103999999999999</v>
      </c>
      <c r="D13">
        <f t="shared" si="0"/>
        <v>1.7948890228894274E-2</v>
      </c>
    </row>
    <row r="14" spans="1:4" x14ac:dyDescent="0.25">
      <c r="A14" s="1">
        <v>12</v>
      </c>
      <c r="B14" t="s">
        <v>14</v>
      </c>
      <c r="C14">
        <v>20.356999999999999</v>
      </c>
      <c r="D14">
        <f t="shared" si="0"/>
        <v>1.7313568915352576E-2</v>
      </c>
    </row>
    <row r="15" spans="1:4" x14ac:dyDescent="0.25">
      <c r="A15" t="s">
        <v>16</v>
      </c>
      <c r="C15">
        <f>SUM(C2:C14)</f>
        <v>1175.7830000000001</v>
      </c>
    </row>
    <row r="16" spans="1:4" x14ac:dyDescent="0.25">
      <c r="A16" t="s">
        <v>15</v>
      </c>
      <c r="C16" t="str">
        <f ca="1">MID(CELL("filename",A1),FIND("]",CELL("filename",A1))+1,255)</f>
        <v>0.62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2" sqref="D2:D14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84.081000000000003</v>
      </c>
      <c r="D2">
        <f>C2/C$15</f>
        <v>9.1204826595740057E-2</v>
      </c>
    </row>
    <row r="3" spans="1:4" x14ac:dyDescent="0.25">
      <c r="A3" s="1">
        <v>1</v>
      </c>
      <c r="B3" t="s">
        <v>3</v>
      </c>
      <c r="C3">
        <v>30.68</v>
      </c>
      <c r="D3">
        <f t="shared" ref="D3:D14" si="0">C3/C$15</f>
        <v>3.3279386305554229E-2</v>
      </c>
    </row>
    <row r="4" spans="1:4" x14ac:dyDescent="0.25">
      <c r="A4" s="1">
        <v>2</v>
      </c>
      <c r="B4" t="s">
        <v>4</v>
      </c>
      <c r="C4">
        <v>197.01900000000001</v>
      </c>
      <c r="D4">
        <f t="shared" si="0"/>
        <v>0.21371158443722257</v>
      </c>
    </row>
    <row r="5" spans="1:4" x14ac:dyDescent="0.25">
      <c r="A5" s="1">
        <v>3</v>
      </c>
      <c r="B5" t="s">
        <v>5</v>
      </c>
      <c r="C5">
        <v>9.5809999999999995</v>
      </c>
      <c r="D5">
        <f t="shared" si="0"/>
        <v>1.0392757503048078E-2</v>
      </c>
    </row>
    <row r="6" spans="1:4" x14ac:dyDescent="0.25">
      <c r="A6" s="1">
        <v>4</v>
      </c>
      <c r="B6" t="s">
        <v>6</v>
      </c>
      <c r="C6">
        <v>11.304</v>
      </c>
      <c r="D6">
        <f t="shared" si="0"/>
        <v>1.2261739986896513E-2</v>
      </c>
    </row>
    <row r="7" spans="1:4" x14ac:dyDescent="0.25">
      <c r="A7" s="1">
        <v>5</v>
      </c>
      <c r="B7" t="s">
        <v>7</v>
      </c>
      <c r="C7">
        <v>183.69800000000001</v>
      </c>
      <c r="D7">
        <f t="shared" si="0"/>
        <v>0.19926195259314539</v>
      </c>
    </row>
    <row r="8" spans="1:4" x14ac:dyDescent="0.25">
      <c r="A8" s="1">
        <v>6</v>
      </c>
      <c r="B8" t="s">
        <v>8</v>
      </c>
      <c r="C8">
        <v>80.616</v>
      </c>
      <c r="D8">
        <f t="shared" si="0"/>
        <v>8.7446251838610156E-2</v>
      </c>
    </row>
    <row r="9" spans="1:4" x14ac:dyDescent="0.25">
      <c r="A9" s="1">
        <v>7</v>
      </c>
      <c r="B9" t="s">
        <v>9</v>
      </c>
      <c r="C9">
        <v>168.08600000000001</v>
      </c>
      <c r="D9">
        <f t="shared" si="0"/>
        <v>0.18232721403374799</v>
      </c>
    </row>
    <row r="10" spans="1:4" x14ac:dyDescent="0.25">
      <c r="A10" s="1">
        <v>8</v>
      </c>
      <c r="B10" t="s">
        <v>10</v>
      </c>
      <c r="C10">
        <v>23.388000000000002</v>
      </c>
      <c r="D10">
        <f t="shared" si="0"/>
        <v>2.5369566066307116E-2</v>
      </c>
    </row>
    <row r="11" spans="1:4" x14ac:dyDescent="0.25">
      <c r="A11" s="1">
        <v>9</v>
      </c>
      <c r="B11" t="s">
        <v>11</v>
      </c>
      <c r="C11">
        <v>83.516999999999996</v>
      </c>
      <c r="D11">
        <f t="shared" si="0"/>
        <v>9.0593041267306787E-2</v>
      </c>
    </row>
    <row r="12" spans="1:4" x14ac:dyDescent="0.25">
      <c r="A12" s="1">
        <v>10</v>
      </c>
      <c r="B12" t="s">
        <v>12</v>
      </c>
      <c r="C12">
        <v>19.831</v>
      </c>
      <c r="D12">
        <f t="shared" si="0"/>
        <v>2.1511196539290935E-2</v>
      </c>
    </row>
    <row r="13" spans="1:4" x14ac:dyDescent="0.25">
      <c r="A13" s="1">
        <v>11</v>
      </c>
      <c r="B13" t="s">
        <v>13</v>
      </c>
      <c r="C13">
        <v>13.515000000000001</v>
      </c>
      <c r="D13">
        <f t="shared" si="0"/>
        <v>1.466006864144607E-2</v>
      </c>
    </row>
    <row r="14" spans="1:4" x14ac:dyDescent="0.25">
      <c r="A14" s="1">
        <v>12</v>
      </c>
      <c r="B14" t="s">
        <v>14</v>
      </c>
      <c r="C14">
        <v>16.576000000000001</v>
      </c>
      <c r="D14">
        <f t="shared" si="0"/>
        <v>1.7980414191684058E-2</v>
      </c>
    </row>
    <row r="15" spans="1:4" x14ac:dyDescent="0.25">
      <c r="A15" t="s">
        <v>16</v>
      </c>
      <c r="C15">
        <f>SUM(C2:C14)</f>
        <v>921.89200000000005</v>
      </c>
    </row>
    <row r="16" spans="1:4" x14ac:dyDescent="0.25">
      <c r="A16" t="s">
        <v>15</v>
      </c>
      <c r="C16" t="str">
        <f ca="1">MID(CELL("filename",A1),FIND("]",CELL("filename",A1))+1,255)</f>
        <v>0.64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H9" sqref="H9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61.982999999999997</v>
      </c>
      <c r="D2">
        <f>C2/C$15</f>
        <v>8.7693509183462678E-2</v>
      </c>
    </row>
    <row r="3" spans="1:4" x14ac:dyDescent="0.25">
      <c r="A3" s="1">
        <v>1</v>
      </c>
      <c r="B3" t="s">
        <v>3</v>
      </c>
      <c r="C3">
        <v>23.576000000000001</v>
      </c>
      <c r="D3">
        <f t="shared" ref="D3:D14" si="0">C3/C$15</f>
        <v>3.3355309883505414E-2</v>
      </c>
    </row>
    <row r="4" spans="1:4" x14ac:dyDescent="0.25">
      <c r="A4" s="1">
        <v>2</v>
      </c>
      <c r="B4" t="s">
        <v>4</v>
      </c>
      <c r="C4">
        <v>149.61600000000001</v>
      </c>
      <c r="D4">
        <f t="shared" si="0"/>
        <v>0.21167662213821459</v>
      </c>
    </row>
    <row r="5" spans="1:4" x14ac:dyDescent="0.25">
      <c r="A5" s="1">
        <v>3</v>
      </c>
      <c r="B5" t="s">
        <v>5</v>
      </c>
      <c r="C5">
        <v>6.9619999999999997</v>
      </c>
      <c r="D5">
        <f t="shared" si="0"/>
        <v>9.8498331951545944E-3</v>
      </c>
    </row>
    <row r="6" spans="1:4" x14ac:dyDescent="0.25">
      <c r="A6" s="1">
        <v>4</v>
      </c>
      <c r="B6" t="s">
        <v>6</v>
      </c>
      <c r="C6">
        <v>10.002000000000001</v>
      </c>
      <c r="D6">
        <f t="shared" si="0"/>
        <v>1.4150823271751833E-2</v>
      </c>
    </row>
    <row r="7" spans="1:4" x14ac:dyDescent="0.25">
      <c r="A7" s="1">
        <v>5</v>
      </c>
      <c r="B7" t="s">
        <v>7</v>
      </c>
      <c r="C7">
        <v>142.76900000000001</v>
      </c>
      <c r="D7">
        <f t="shared" si="0"/>
        <v>0.20198949087029966</v>
      </c>
    </row>
    <row r="8" spans="1:4" x14ac:dyDescent="0.25">
      <c r="A8" s="1">
        <v>6</v>
      </c>
      <c r="B8" t="s">
        <v>8</v>
      </c>
      <c r="C8">
        <v>63.701000000000001</v>
      </c>
      <c r="D8">
        <f t="shared" si="0"/>
        <v>9.0124134496487041E-2</v>
      </c>
    </row>
    <row r="9" spans="1:4" x14ac:dyDescent="0.25">
      <c r="A9" s="1">
        <v>7</v>
      </c>
      <c r="B9" t="s">
        <v>9</v>
      </c>
      <c r="C9">
        <v>128.46100000000001</v>
      </c>
      <c r="D9">
        <f t="shared" si="0"/>
        <v>0.18174654152294664</v>
      </c>
    </row>
    <row r="10" spans="1:4" x14ac:dyDescent="0.25">
      <c r="A10" s="1">
        <v>8</v>
      </c>
      <c r="B10" t="s">
        <v>10</v>
      </c>
      <c r="C10">
        <v>16.239000000000001</v>
      </c>
      <c r="D10">
        <f t="shared" si="0"/>
        <v>2.2974926925612676E-2</v>
      </c>
    </row>
    <row r="11" spans="1:4" x14ac:dyDescent="0.25">
      <c r="A11" s="1">
        <v>9</v>
      </c>
      <c r="B11" t="s">
        <v>11</v>
      </c>
      <c r="C11">
        <v>66.603999999999999</v>
      </c>
      <c r="D11">
        <f t="shared" si="0"/>
        <v>9.4231297059763949E-2</v>
      </c>
    </row>
    <row r="12" spans="1:4" x14ac:dyDescent="0.25">
      <c r="A12" s="1">
        <v>10</v>
      </c>
      <c r="B12" t="s">
        <v>12</v>
      </c>
      <c r="C12">
        <v>13.984999999999999</v>
      </c>
      <c r="D12">
        <f t="shared" si="0"/>
        <v>1.9785969151714593E-2</v>
      </c>
    </row>
    <row r="13" spans="1:4" x14ac:dyDescent="0.25">
      <c r="A13" s="1">
        <v>11</v>
      </c>
      <c r="B13" t="s">
        <v>13</v>
      </c>
      <c r="C13">
        <v>8.9570000000000007</v>
      </c>
      <c r="D13">
        <f t="shared" si="0"/>
        <v>1.2672357932921532E-2</v>
      </c>
    </row>
    <row r="14" spans="1:4" x14ac:dyDescent="0.25">
      <c r="A14" s="1">
        <v>12</v>
      </c>
      <c r="B14" t="s">
        <v>14</v>
      </c>
      <c r="C14">
        <v>13.959</v>
      </c>
      <c r="D14">
        <f t="shared" si="0"/>
        <v>1.9749184368164748E-2</v>
      </c>
    </row>
    <row r="15" spans="1:4" x14ac:dyDescent="0.25">
      <c r="A15" t="s">
        <v>16</v>
      </c>
      <c r="C15">
        <f>SUM(C2:C14)</f>
        <v>706.81400000000008</v>
      </c>
    </row>
    <row r="16" spans="1:4" x14ac:dyDescent="0.25">
      <c r="A16" t="s">
        <v>15</v>
      </c>
      <c r="C16" t="str">
        <f ca="1">MID(CELL("filename",A1),FIND("]",CELL("filename",A1))+1,255)</f>
        <v>0.66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D2" sqref="D2:D14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51.924999999999997</v>
      </c>
      <c r="D2">
        <f>C2/C$15</f>
        <v>9.5199942797530773E-2</v>
      </c>
    </row>
    <row r="3" spans="1:4" x14ac:dyDescent="0.25">
      <c r="A3" s="1">
        <v>1</v>
      </c>
      <c r="B3" t="s">
        <v>3</v>
      </c>
      <c r="C3">
        <v>17.539000000000001</v>
      </c>
      <c r="D3">
        <f t="shared" ref="D3:D14" si="0">C3/C$15</f>
        <v>3.2156221410224214E-2</v>
      </c>
    </row>
    <row r="4" spans="1:4" x14ac:dyDescent="0.25">
      <c r="A4" s="1">
        <v>2</v>
      </c>
      <c r="B4" t="s">
        <v>4</v>
      </c>
      <c r="C4">
        <v>110.741</v>
      </c>
      <c r="D4">
        <f t="shared" si="0"/>
        <v>0.20303393096468667</v>
      </c>
    </row>
    <row r="5" spans="1:4" x14ac:dyDescent="0.25">
      <c r="A5" s="1">
        <v>3</v>
      </c>
      <c r="B5" t="s">
        <v>5</v>
      </c>
      <c r="C5">
        <v>4.9690000000000003</v>
      </c>
      <c r="D5">
        <f t="shared" si="0"/>
        <v>9.1102265914478654E-3</v>
      </c>
    </row>
    <row r="6" spans="1:4" x14ac:dyDescent="0.25">
      <c r="A6" s="1">
        <v>4</v>
      </c>
      <c r="B6" t="s">
        <v>6</v>
      </c>
      <c r="C6">
        <v>7.3209999999999997</v>
      </c>
      <c r="D6">
        <f t="shared" si="0"/>
        <v>1.3422412734149692E-2</v>
      </c>
    </row>
    <row r="7" spans="1:4" x14ac:dyDescent="0.25">
      <c r="A7" s="1">
        <v>5</v>
      </c>
      <c r="B7" t="s">
        <v>7</v>
      </c>
      <c r="C7">
        <v>107.925</v>
      </c>
      <c r="D7">
        <f t="shared" si="0"/>
        <v>0.19787104143328857</v>
      </c>
    </row>
    <row r="8" spans="1:4" x14ac:dyDescent="0.25">
      <c r="A8" s="1">
        <v>6</v>
      </c>
      <c r="B8" t="s">
        <v>8</v>
      </c>
      <c r="C8">
        <v>48.311</v>
      </c>
      <c r="D8">
        <f t="shared" si="0"/>
        <v>8.8573990110573111E-2</v>
      </c>
    </row>
    <row r="9" spans="1:4" x14ac:dyDescent="0.25">
      <c r="A9" s="1">
        <v>7</v>
      </c>
      <c r="B9" t="s">
        <v>9</v>
      </c>
      <c r="C9">
        <v>104.355</v>
      </c>
      <c r="D9">
        <f t="shared" si="0"/>
        <v>0.19132575889525902</v>
      </c>
    </row>
    <row r="10" spans="1:4" x14ac:dyDescent="0.25">
      <c r="A10" s="1">
        <v>8</v>
      </c>
      <c r="B10" t="s">
        <v>10</v>
      </c>
      <c r="C10">
        <v>13.558</v>
      </c>
      <c r="D10">
        <f t="shared" si="0"/>
        <v>2.4857406344707216E-2</v>
      </c>
    </row>
    <row r="11" spans="1:4" x14ac:dyDescent="0.25">
      <c r="A11" s="1">
        <v>9</v>
      </c>
      <c r="B11" t="s">
        <v>11</v>
      </c>
      <c r="C11">
        <v>52.573999999999998</v>
      </c>
      <c r="D11">
        <f t="shared" si="0"/>
        <v>9.6389827494220176E-2</v>
      </c>
    </row>
    <row r="12" spans="1:4" x14ac:dyDescent="0.25">
      <c r="A12" s="1">
        <v>10</v>
      </c>
      <c r="B12" t="s">
        <v>12</v>
      </c>
      <c r="C12">
        <v>9.3089999999999993</v>
      </c>
      <c r="D12">
        <f t="shared" si="0"/>
        <v>1.7067236735719093E-2</v>
      </c>
    </row>
    <row r="13" spans="1:4" x14ac:dyDescent="0.25">
      <c r="A13" s="1">
        <v>11</v>
      </c>
      <c r="B13" t="s">
        <v>13</v>
      </c>
      <c r="C13">
        <v>5.6210000000000004</v>
      </c>
      <c r="D13">
        <f t="shared" si="0"/>
        <v>1.0305611525564189E-2</v>
      </c>
    </row>
    <row r="14" spans="1:4" x14ac:dyDescent="0.25">
      <c r="A14" s="1">
        <v>12</v>
      </c>
      <c r="B14" t="s">
        <v>14</v>
      </c>
      <c r="C14">
        <v>11.282999999999999</v>
      </c>
      <c r="D14">
        <f t="shared" si="0"/>
        <v>2.0686392962629554E-2</v>
      </c>
    </row>
    <row r="15" spans="1:4" x14ac:dyDescent="0.25">
      <c r="A15" t="s">
        <v>16</v>
      </c>
      <c r="C15">
        <f>SUM(C2:C14)</f>
        <v>545.43099999999993</v>
      </c>
    </row>
    <row r="16" spans="1:4" x14ac:dyDescent="0.25">
      <c r="A16" t="s">
        <v>15</v>
      </c>
      <c r="C16" t="str">
        <f ca="1">MID(CELL("filename",A1),FIND("]",CELL("filename",A1))+1,255)</f>
        <v>0.68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C4" sqref="C4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42.987000000000002</v>
      </c>
      <c r="D2">
        <f>C2/C$15</f>
        <v>9.9243443911651227E-2</v>
      </c>
    </row>
    <row r="3" spans="1:4" x14ac:dyDescent="0.25">
      <c r="A3" s="1">
        <v>1</v>
      </c>
      <c r="B3" t="s">
        <v>3</v>
      </c>
      <c r="C3">
        <v>16.158000000000001</v>
      </c>
      <c r="D3">
        <f t="shared" ref="D3:D14" si="0">C3/C$15</f>
        <v>3.7303732912844827E-2</v>
      </c>
    </row>
    <row r="4" spans="1:4" x14ac:dyDescent="0.25">
      <c r="A4" s="1">
        <v>2</v>
      </c>
      <c r="B4" t="s">
        <v>4</v>
      </c>
      <c r="C4">
        <v>83.850999999999999</v>
      </c>
      <c r="D4">
        <f t="shared" si="0"/>
        <v>0.19358554947858345</v>
      </c>
    </row>
    <row r="5" spans="1:4" x14ac:dyDescent="0.25">
      <c r="A5" s="1">
        <v>3</v>
      </c>
      <c r="B5" t="s">
        <v>5</v>
      </c>
      <c r="C5">
        <v>2.2050000000000001</v>
      </c>
      <c r="D5">
        <f t="shared" si="0"/>
        <v>5.0906505181843569E-3</v>
      </c>
    </row>
    <row r="6" spans="1:4" x14ac:dyDescent="0.25">
      <c r="A6" s="1">
        <v>4</v>
      </c>
      <c r="B6" t="s">
        <v>6</v>
      </c>
      <c r="C6">
        <v>5.9539999999999997</v>
      </c>
      <c r="D6">
        <f t="shared" si="0"/>
        <v>1.3745910741618895E-2</v>
      </c>
    </row>
    <row r="7" spans="1:4" x14ac:dyDescent="0.25">
      <c r="A7" s="1">
        <v>5</v>
      </c>
      <c r="B7" t="s">
        <v>7</v>
      </c>
      <c r="C7">
        <v>83.822000000000003</v>
      </c>
      <c r="D7">
        <f t="shared" si="0"/>
        <v>0.1935185976123579</v>
      </c>
    </row>
    <row r="8" spans="1:4" x14ac:dyDescent="0.25">
      <c r="A8" s="1">
        <v>6</v>
      </c>
      <c r="B8" t="s">
        <v>8</v>
      </c>
      <c r="C8">
        <v>43.485999999999997</v>
      </c>
      <c r="D8">
        <f t="shared" si="0"/>
        <v>0.1003954777477392</v>
      </c>
    </row>
    <row r="9" spans="1:4" x14ac:dyDescent="0.25">
      <c r="A9" s="1">
        <v>7</v>
      </c>
      <c r="B9" t="s">
        <v>9</v>
      </c>
      <c r="C9">
        <v>80.947000000000003</v>
      </c>
      <c r="D9">
        <f t="shared" si="0"/>
        <v>0.18688112811585902</v>
      </c>
    </row>
    <row r="10" spans="1:4" x14ac:dyDescent="0.25">
      <c r="A10" s="1">
        <v>8</v>
      </c>
      <c r="B10" t="s">
        <v>10</v>
      </c>
      <c r="C10">
        <v>10.127000000000001</v>
      </c>
      <c r="D10">
        <f t="shared" si="0"/>
        <v>2.3380053422971878E-2</v>
      </c>
    </row>
    <row r="11" spans="1:4" x14ac:dyDescent="0.25">
      <c r="A11" s="1">
        <v>9</v>
      </c>
      <c r="B11" t="s">
        <v>11</v>
      </c>
      <c r="C11">
        <v>45.671999999999997</v>
      </c>
      <c r="D11">
        <f t="shared" si="0"/>
        <v>0.10544226325012061</v>
      </c>
    </row>
    <row r="12" spans="1:4" x14ac:dyDescent="0.25">
      <c r="A12" s="1">
        <v>10</v>
      </c>
      <c r="B12" t="s">
        <v>12</v>
      </c>
      <c r="C12">
        <v>5.1790000000000003</v>
      </c>
      <c r="D12">
        <f t="shared" si="0"/>
        <v>1.1956679833867024E-2</v>
      </c>
    </row>
    <row r="13" spans="1:4" x14ac:dyDescent="0.25">
      <c r="A13" s="1">
        <v>11</v>
      </c>
      <c r="B13" t="s">
        <v>13</v>
      </c>
      <c r="C13">
        <v>2.8690000000000002</v>
      </c>
      <c r="D13">
        <f t="shared" si="0"/>
        <v>6.6236173862453162E-3</v>
      </c>
    </row>
    <row r="14" spans="1:4" x14ac:dyDescent="0.25">
      <c r="A14" s="1">
        <v>12</v>
      </c>
      <c r="B14" t="s">
        <v>14</v>
      </c>
      <c r="C14">
        <v>9.89</v>
      </c>
      <c r="D14">
        <f t="shared" si="0"/>
        <v>2.2832895067956143E-2</v>
      </c>
    </row>
    <row r="15" spans="1:4" x14ac:dyDescent="0.25">
      <c r="A15" t="s">
        <v>16</v>
      </c>
      <c r="C15">
        <f>SUM(C2:C14)</f>
        <v>433.14700000000005</v>
      </c>
    </row>
    <row r="16" spans="1:4" x14ac:dyDescent="0.25">
      <c r="A16" t="s">
        <v>15</v>
      </c>
      <c r="C16" t="str">
        <f ca="1">MID(CELL("filename",A1),FIND("]",CELL("filename",A1))+1,255)</f>
        <v>0.7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D2" sqref="D2:D14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31.587</v>
      </c>
      <c r="D2">
        <f>C2/C$15</f>
        <v>0.10180225475218996</v>
      </c>
    </row>
    <row r="3" spans="1:4" x14ac:dyDescent="0.25">
      <c r="A3" s="1">
        <v>1</v>
      </c>
      <c r="B3" t="s">
        <v>3</v>
      </c>
      <c r="C3">
        <v>10.473000000000001</v>
      </c>
      <c r="D3">
        <f t="shared" ref="D3:D14" si="0">C3/C$15</f>
        <v>3.3753601608879781E-2</v>
      </c>
    </row>
    <row r="4" spans="1:4" x14ac:dyDescent="0.25">
      <c r="A4" s="1">
        <v>2</v>
      </c>
      <c r="B4" t="s">
        <v>4</v>
      </c>
      <c r="C4">
        <v>60.392000000000003</v>
      </c>
      <c r="D4">
        <f t="shared" si="0"/>
        <v>0.19463835657055931</v>
      </c>
    </row>
    <row r="5" spans="1:4" x14ac:dyDescent="0.25">
      <c r="A5" s="1">
        <v>3</v>
      </c>
      <c r="B5" t="s">
        <v>5</v>
      </c>
      <c r="C5">
        <v>1.5049999999999999</v>
      </c>
      <c r="D5">
        <f t="shared" si="0"/>
        <v>4.8504889163911062E-3</v>
      </c>
    </row>
    <row r="6" spans="1:4" x14ac:dyDescent="0.25">
      <c r="A6" s="1">
        <v>4</v>
      </c>
      <c r="B6" t="s">
        <v>6</v>
      </c>
      <c r="C6">
        <v>4.54</v>
      </c>
      <c r="D6">
        <f t="shared" si="0"/>
        <v>1.4632039654761213E-2</v>
      </c>
    </row>
    <row r="7" spans="1:4" x14ac:dyDescent="0.25">
      <c r="A7" s="1">
        <v>5</v>
      </c>
      <c r="B7" t="s">
        <v>7</v>
      </c>
      <c r="C7">
        <v>58.31</v>
      </c>
      <c r="D7">
        <f t="shared" si="0"/>
        <v>0.18792824499319966</v>
      </c>
    </row>
    <row r="8" spans="1:4" x14ac:dyDescent="0.25">
      <c r="A8" s="1">
        <v>6</v>
      </c>
      <c r="B8" t="s">
        <v>8</v>
      </c>
      <c r="C8">
        <v>30.675000000000001</v>
      </c>
      <c r="D8">
        <f t="shared" si="0"/>
        <v>9.8862955156343663E-2</v>
      </c>
    </row>
    <row r="9" spans="1:4" x14ac:dyDescent="0.25">
      <c r="A9" s="1">
        <v>7</v>
      </c>
      <c r="B9" t="s">
        <v>9</v>
      </c>
      <c r="C9">
        <v>61.098999999999997</v>
      </c>
      <c r="D9">
        <f t="shared" si="0"/>
        <v>0.19691695834058487</v>
      </c>
    </row>
    <row r="10" spans="1:4" x14ac:dyDescent="0.25">
      <c r="A10" s="1">
        <v>8</v>
      </c>
      <c r="B10" t="s">
        <v>10</v>
      </c>
      <c r="C10">
        <v>8.6980000000000004</v>
      </c>
      <c r="D10">
        <f t="shared" si="0"/>
        <v>2.8032925312139436E-2</v>
      </c>
    </row>
    <row r="11" spans="1:4" x14ac:dyDescent="0.25">
      <c r="A11" s="1">
        <v>9</v>
      </c>
      <c r="B11" t="s">
        <v>11</v>
      </c>
      <c r="C11">
        <v>32.161999999999999</v>
      </c>
      <c r="D11">
        <f t="shared" si="0"/>
        <v>0.10365543158071149</v>
      </c>
    </row>
    <row r="12" spans="1:4" x14ac:dyDescent="0.25">
      <c r="A12" s="1">
        <v>10</v>
      </c>
      <c r="B12" t="s">
        <v>12</v>
      </c>
      <c r="C12">
        <v>3.7519999999999998</v>
      </c>
      <c r="D12">
        <f t="shared" si="0"/>
        <v>1.2092381670630852E-2</v>
      </c>
    </row>
    <row r="13" spans="1:4" x14ac:dyDescent="0.25">
      <c r="A13" s="1">
        <v>11</v>
      </c>
      <c r="B13" t="s">
        <v>13</v>
      </c>
      <c r="C13">
        <v>1.454</v>
      </c>
      <c r="D13">
        <f t="shared" si="0"/>
        <v>4.6861201889918068E-3</v>
      </c>
    </row>
    <row r="14" spans="1:4" x14ac:dyDescent="0.25">
      <c r="A14" s="1">
        <v>12</v>
      </c>
      <c r="B14" t="s">
        <v>14</v>
      </c>
      <c r="C14">
        <v>5.6310000000000002</v>
      </c>
      <c r="D14">
        <f t="shared" si="0"/>
        <v>1.8148241254616827E-2</v>
      </c>
    </row>
    <row r="15" spans="1:4" x14ac:dyDescent="0.25">
      <c r="A15" t="s">
        <v>16</v>
      </c>
      <c r="C15">
        <f>SUM(C2:C14)</f>
        <v>310.27800000000002</v>
      </c>
    </row>
    <row r="16" spans="1:4" x14ac:dyDescent="0.25">
      <c r="A16" t="s">
        <v>15</v>
      </c>
      <c r="C16" t="str">
        <f ca="1">MID(CELL("filename",A1),FIND("]",CELL("filename",A1))+1,255)</f>
        <v>0.72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D2" sqref="D2:D14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22.062000000000001</v>
      </c>
      <c r="D2">
        <f>C2/C$15</f>
        <v>9.2451201421423615E-2</v>
      </c>
    </row>
    <row r="3" spans="1:4" x14ac:dyDescent="0.25">
      <c r="A3" s="1">
        <v>1</v>
      </c>
      <c r="B3" t="s">
        <v>3</v>
      </c>
      <c r="C3">
        <v>9.01</v>
      </c>
      <c r="D3">
        <f t="shared" ref="D3:D14" si="0">C3/C$15</f>
        <v>3.7756564445971655E-2</v>
      </c>
    </row>
    <row r="4" spans="1:4" x14ac:dyDescent="0.25">
      <c r="A4" s="1">
        <v>2</v>
      </c>
      <c r="B4" t="s">
        <v>4</v>
      </c>
      <c r="C4">
        <v>40.674999999999997</v>
      </c>
      <c r="D4">
        <f t="shared" si="0"/>
        <v>0.17044930730742475</v>
      </c>
    </row>
    <row r="5" spans="1:4" x14ac:dyDescent="0.25">
      <c r="A5" s="1">
        <v>3</v>
      </c>
      <c r="B5" t="s">
        <v>5</v>
      </c>
      <c r="C5">
        <v>0.77700000000000002</v>
      </c>
      <c r="D5">
        <f t="shared" si="0"/>
        <v>3.2560322502241928E-3</v>
      </c>
    </row>
    <row r="6" spans="1:4" x14ac:dyDescent="0.25">
      <c r="A6" s="1">
        <v>4</v>
      </c>
      <c r="B6" t="s">
        <v>6</v>
      </c>
      <c r="C6">
        <v>2.35</v>
      </c>
      <c r="D6">
        <f t="shared" si="0"/>
        <v>9.8477165869071473E-3</v>
      </c>
    </row>
    <row r="7" spans="1:4" x14ac:dyDescent="0.25">
      <c r="A7" s="1">
        <v>5</v>
      </c>
      <c r="B7" t="s">
        <v>7</v>
      </c>
      <c r="C7">
        <v>48.813000000000002</v>
      </c>
      <c r="D7">
        <f t="shared" si="0"/>
        <v>0.20455174032199941</v>
      </c>
    </row>
    <row r="8" spans="1:4" x14ac:dyDescent="0.25">
      <c r="A8" s="1">
        <v>6</v>
      </c>
      <c r="B8" t="s">
        <v>8</v>
      </c>
      <c r="C8">
        <v>24.067</v>
      </c>
      <c r="D8">
        <f t="shared" si="0"/>
        <v>0.10085318940301885</v>
      </c>
    </row>
    <row r="9" spans="1:4" x14ac:dyDescent="0.25">
      <c r="A9" s="1">
        <v>7</v>
      </c>
      <c r="B9" t="s">
        <v>9</v>
      </c>
      <c r="C9">
        <v>51.613</v>
      </c>
      <c r="D9">
        <f t="shared" si="0"/>
        <v>0.21628518987235684</v>
      </c>
    </row>
    <row r="10" spans="1:4" x14ac:dyDescent="0.25">
      <c r="A10" s="1">
        <v>8</v>
      </c>
      <c r="B10" t="s">
        <v>10</v>
      </c>
      <c r="C10">
        <v>7.2320000000000002</v>
      </c>
      <c r="D10">
        <f t="shared" si="0"/>
        <v>3.0305823981494676E-2</v>
      </c>
    </row>
    <row r="11" spans="1:4" x14ac:dyDescent="0.25">
      <c r="A11" s="1">
        <v>9</v>
      </c>
      <c r="B11" t="s">
        <v>11</v>
      </c>
      <c r="C11">
        <v>24.856999999999999</v>
      </c>
      <c r="D11">
        <f t="shared" si="0"/>
        <v>0.10416369838329828</v>
      </c>
    </row>
    <row r="12" spans="1:4" x14ac:dyDescent="0.25">
      <c r="A12" s="1">
        <v>10</v>
      </c>
      <c r="B12" t="s">
        <v>12</v>
      </c>
      <c r="C12">
        <v>3.0150000000000001</v>
      </c>
      <c r="D12">
        <f t="shared" si="0"/>
        <v>1.2634410855117042E-2</v>
      </c>
    </row>
    <row r="13" spans="1:4" x14ac:dyDescent="0.25">
      <c r="A13" s="1">
        <v>11</v>
      </c>
      <c r="B13" t="s">
        <v>13</v>
      </c>
      <c r="C13">
        <v>0</v>
      </c>
      <c r="D13">
        <f t="shared" si="0"/>
        <v>0</v>
      </c>
    </row>
    <row r="14" spans="1:4" x14ac:dyDescent="0.25">
      <c r="A14" s="1">
        <v>12</v>
      </c>
      <c r="B14" t="s">
        <v>14</v>
      </c>
      <c r="C14">
        <v>4.1630000000000003</v>
      </c>
      <c r="D14">
        <f t="shared" si="0"/>
        <v>1.7445125170763597E-2</v>
      </c>
    </row>
    <row r="15" spans="1:4" x14ac:dyDescent="0.25">
      <c r="A15" t="s">
        <v>16</v>
      </c>
      <c r="C15">
        <f>SUM(C2:C14)</f>
        <v>238.63399999999999</v>
      </c>
    </row>
    <row r="16" spans="1:4" x14ac:dyDescent="0.25">
      <c r="A16" t="s">
        <v>15</v>
      </c>
      <c r="C16" t="str">
        <f ca="1">MID(CELL("filename",A1),FIND("]",CELL("filename",A1))+1,255)</f>
        <v>0.74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>
      <selection activeCell="D2" sqref="D2:D14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19.065000000000001</v>
      </c>
      <c r="D2">
        <f>C2/C$15</f>
        <v>0.10114594938723541</v>
      </c>
    </row>
    <row r="3" spans="1:4" x14ac:dyDescent="0.25">
      <c r="A3" s="1">
        <v>1</v>
      </c>
      <c r="B3" t="s">
        <v>3</v>
      </c>
      <c r="C3">
        <v>6.7789999999999999</v>
      </c>
      <c r="D3">
        <f t="shared" ref="D3:D14" si="0">C3/C$15</f>
        <v>3.5964772666984987E-2</v>
      </c>
    </row>
    <row r="4" spans="1:4" x14ac:dyDescent="0.25">
      <c r="A4" s="1">
        <v>2</v>
      </c>
      <c r="B4" t="s">
        <v>4</v>
      </c>
      <c r="C4">
        <v>29.431999999999999</v>
      </c>
      <c r="D4">
        <f t="shared" si="0"/>
        <v>0.15614621465329726</v>
      </c>
    </row>
    <row r="5" spans="1:4" x14ac:dyDescent="0.25">
      <c r="A5" s="1">
        <v>3</v>
      </c>
      <c r="B5" t="s">
        <v>5</v>
      </c>
      <c r="C5">
        <v>0.77700000000000002</v>
      </c>
      <c r="D5">
        <f t="shared" si="0"/>
        <v>4.1222346013051097E-3</v>
      </c>
    </row>
    <row r="6" spans="1:4" x14ac:dyDescent="0.25">
      <c r="A6" s="1">
        <v>4</v>
      </c>
      <c r="B6" t="s">
        <v>6</v>
      </c>
      <c r="C6">
        <v>2.35</v>
      </c>
      <c r="D6">
        <f t="shared" si="0"/>
        <v>1.2467504907422147E-2</v>
      </c>
    </row>
    <row r="7" spans="1:4" x14ac:dyDescent="0.25">
      <c r="A7" s="1">
        <v>5</v>
      </c>
      <c r="B7" t="s">
        <v>7</v>
      </c>
      <c r="C7">
        <v>39.097999999999999</v>
      </c>
      <c r="D7">
        <f t="shared" si="0"/>
        <v>0.2074274497320813</v>
      </c>
    </row>
    <row r="8" spans="1:4" x14ac:dyDescent="0.25">
      <c r="A8" s="1">
        <v>6</v>
      </c>
      <c r="B8" t="s">
        <v>8</v>
      </c>
      <c r="C8">
        <v>18.832999999999998</v>
      </c>
      <c r="D8">
        <f t="shared" si="0"/>
        <v>9.9915114860204782E-2</v>
      </c>
    </row>
    <row r="9" spans="1:4" x14ac:dyDescent="0.25">
      <c r="A9" s="1">
        <v>7</v>
      </c>
      <c r="B9" t="s">
        <v>9</v>
      </c>
      <c r="C9">
        <v>43.381999999999998</v>
      </c>
      <c r="D9">
        <f t="shared" si="0"/>
        <v>0.23015544591225001</v>
      </c>
    </row>
    <row r="10" spans="1:4" x14ac:dyDescent="0.25">
      <c r="A10" s="1">
        <v>8</v>
      </c>
      <c r="B10" t="s">
        <v>10</v>
      </c>
      <c r="C10">
        <v>4.2370000000000001</v>
      </c>
      <c r="D10">
        <f t="shared" si="0"/>
        <v>2.247864608202027E-2</v>
      </c>
    </row>
    <row r="11" spans="1:4" x14ac:dyDescent="0.25">
      <c r="A11" s="1">
        <v>9</v>
      </c>
      <c r="B11" t="s">
        <v>11</v>
      </c>
      <c r="C11">
        <v>20.355</v>
      </c>
      <c r="D11">
        <f t="shared" si="0"/>
        <v>0.10798981378322459</v>
      </c>
    </row>
    <row r="12" spans="1:4" x14ac:dyDescent="0.25">
      <c r="A12" s="1">
        <v>10</v>
      </c>
      <c r="B12" t="s">
        <v>12</v>
      </c>
      <c r="C12">
        <v>0.76700000000000002</v>
      </c>
      <c r="D12">
        <f t="shared" si="0"/>
        <v>4.0691813889331E-3</v>
      </c>
    </row>
    <row r="13" spans="1:4" x14ac:dyDescent="0.25">
      <c r="A13" s="1">
        <v>11</v>
      </c>
      <c r="B13" t="s">
        <v>13</v>
      </c>
      <c r="C13">
        <v>0</v>
      </c>
      <c r="D13">
        <f t="shared" si="0"/>
        <v>0</v>
      </c>
    </row>
    <row r="14" spans="1:4" x14ac:dyDescent="0.25">
      <c r="A14" s="1">
        <v>12</v>
      </c>
      <c r="B14" t="s">
        <v>14</v>
      </c>
      <c r="C14">
        <v>3.415</v>
      </c>
      <c r="D14">
        <f t="shared" si="0"/>
        <v>1.811767202504112E-2</v>
      </c>
    </row>
    <row r="15" spans="1:4" x14ac:dyDescent="0.25">
      <c r="A15" t="s">
        <v>16</v>
      </c>
      <c r="C15">
        <f>SUM(C2:C14)</f>
        <v>188.48999999999998</v>
      </c>
    </row>
    <row r="16" spans="1:4" x14ac:dyDescent="0.25">
      <c r="A16" t="s">
        <v>15</v>
      </c>
      <c r="C16" t="str">
        <f ca="1">MID(CELL("filename",A1),FIND("]",CELL("filename",A1))+1,255)</f>
        <v>0.76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workbookViewId="0">
      <selection activeCell="D2" sqref="D2:D14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15.228</v>
      </c>
      <c r="D2">
        <f>C2/C$15</f>
        <v>0.10702087286527515</v>
      </c>
    </row>
    <row r="3" spans="1:4" x14ac:dyDescent="0.25">
      <c r="A3" s="1">
        <v>1</v>
      </c>
      <c r="B3" t="s">
        <v>3</v>
      </c>
      <c r="C3">
        <v>4.476</v>
      </c>
      <c r="D3">
        <f t="shared" ref="D3:D14" si="0">C3/C$15</f>
        <v>3.1456883828800339E-2</v>
      </c>
    </row>
    <row r="4" spans="1:4" x14ac:dyDescent="0.25">
      <c r="A4" s="1">
        <v>2</v>
      </c>
      <c r="B4" t="s">
        <v>4</v>
      </c>
      <c r="C4">
        <v>21.74</v>
      </c>
      <c r="D4">
        <f t="shared" si="0"/>
        <v>0.15278656265373533</v>
      </c>
    </row>
    <row r="5" spans="1:4" x14ac:dyDescent="0.25">
      <c r="A5" s="1">
        <v>3</v>
      </c>
      <c r="B5" t="s">
        <v>5</v>
      </c>
      <c r="C5">
        <v>0</v>
      </c>
      <c r="D5">
        <f t="shared" si="0"/>
        <v>0</v>
      </c>
    </row>
    <row r="6" spans="1:4" x14ac:dyDescent="0.25">
      <c r="A6" s="1">
        <v>4</v>
      </c>
      <c r="B6" t="s">
        <v>6</v>
      </c>
      <c r="C6">
        <v>1.5820000000000001</v>
      </c>
      <c r="D6">
        <f t="shared" si="0"/>
        <v>1.1118139011877153E-2</v>
      </c>
    </row>
    <row r="7" spans="1:4" x14ac:dyDescent="0.25">
      <c r="A7" s="1">
        <v>5</v>
      </c>
      <c r="B7" t="s">
        <v>7</v>
      </c>
      <c r="C7">
        <v>29.844999999999999</v>
      </c>
      <c r="D7">
        <f t="shared" si="0"/>
        <v>0.20974769836249912</v>
      </c>
    </row>
    <row r="8" spans="1:4" x14ac:dyDescent="0.25">
      <c r="A8" s="1">
        <v>6</v>
      </c>
      <c r="B8" t="s">
        <v>8</v>
      </c>
      <c r="C8">
        <v>14.978</v>
      </c>
      <c r="D8">
        <f t="shared" si="0"/>
        <v>0.10526389767376484</v>
      </c>
    </row>
    <row r="9" spans="1:4" x14ac:dyDescent="0.25">
      <c r="A9" s="1">
        <v>7</v>
      </c>
      <c r="B9" t="s">
        <v>9</v>
      </c>
      <c r="C9">
        <v>31.835999999999999</v>
      </c>
      <c r="D9">
        <f t="shared" si="0"/>
        <v>0.22374024878768711</v>
      </c>
    </row>
    <row r="10" spans="1:4" x14ac:dyDescent="0.25">
      <c r="A10" s="1">
        <v>8</v>
      </c>
      <c r="B10" t="s">
        <v>10</v>
      </c>
      <c r="C10">
        <v>3.4569999999999999</v>
      </c>
      <c r="D10">
        <f t="shared" si="0"/>
        <v>2.4295452948204371E-2</v>
      </c>
    </row>
    <row r="11" spans="1:4" x14ac:dyDescent="0.25">
      <c r="A11" s="1">
        <v>9</v>
      </c>
      <c r="B11" t="s">
        <v>11</v>
      </c>
      <c r="C11">
        <v>16.507999999999999</v>
      </c>
      <c r="D11">
        <f t="shared" si="0"/>
        <v>0.11601658584580786</v>
      </c>
    </row>
    <row r="12" spans="1:4" x14ac:dyDescent="0.25">
      <c r="A12" s="1">
        <v>10</v>
      </c>
      <c r="B12" t="s">
        <v>12</v>
      </c>
      <c r="C12">
        <v>0</v>
      </c>
      <c r="D12">
        <f t="shared" si="0"/>
        <v>0</v>
      </c>
    </row>
    <row r="13" spans="1:4" x14ac:dyDescent="0.25">
      <c r="A13" s="1">
        <v>11</v>
      </c>
      <c r="B13" t="s">
        <v>13</v>
      </c>
      <c r="C13">
        <v>0</v>
      </c>
      <c r="D13">
        <f t="shared" si="0"/>
        <v>0</v>
      </c>
    </row>
    <row r="14" spans="1:4" x14ac:dyDescent="0.25">
      <c r="A14" s="1">
        <v>12</v>
      </c>
      <c r="B14" t="s">
        <v>14</v>
      </c>
      <c r="C14">
        <v>2.64</v>
      </c>
      <c r="D14">
        <f t="shared" si="0"/>
        <v>1.8553658022348728E-2</v>
      </c>
    </row>
    <row r="15" spans="1:4" x14ac:dyDescent="0.25">
      <c r="A15" t="s">
        <v>16</v>
      </c>
      <c r="C15">
        <f>SUM(C2:C14)</f>
        <v>142.29</v>
      </c>
    </row>
    <row r="16" spans="1:4" x14ac:dyDescent="0.25">
      <c r="A16" t="s">
        <v>15</v>
      </c>
      <c r="C16" t="str">
        <f ca="1">MID(CELL("filename",A1),FIND("]",CELL("filename",A1))+1,255)</f>
        <v>0.78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selection activeCell="D2" sqref="D2:D14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</row>
    <row r="2" spans="1:4" x14ac:dyDescent="0.25">
      <c r="A2" s="1">
        <v>0</v>
      </c>
      <c r="B2" t="s">
        <v>2</v>
      </c>
      <c r="C2">
        <v>10.484999999999999</v>
      </c>
      <c r="D2">
        <f>C2/C$15</f>
        <v>9.6031433464916716E-2</v>
      </c>
    </row>
    <row r="3" spans="1:4" x14ac:dyDescent="0.25">
      <c r="A3" s="1">
        <v>1</v>
      </c>
      <c r="B3" t="s">
        <v>3</v>
      </c>
      <c r="C3">
        <v>3.6880000000000002</v>
      </c>
      <c r="D3">
        <f t="shared" ref="D3:D14" si="0">C3/C$15</f>
        <v>3.3778152276453303E-2</v>
      </c>
    </row>
    <row r="4" spans="1:4" x14ac:dyDescent="0.25">
      <c r="A4" s="1">
        <v>2</v>
      </c>
      <c r="B4" t="s">
        <v>4</v>
      </c>
      <c r="C4">
        <v>15.430999999999999</v>
      </c>
      <c r="D4">
        <f t="shared" si="0"/>
        <v>0.14133152597016022</v>
      </c>
    </row>
    <row r="5" spans="1:4" x14ac:dyDescent="0.25">
      <c r="A5" s="1">
        <v>3</v>
      </c>
      <c r="B5" t="s">
        <v>5</v>
      </c>
      <c r="C5">
        <v>0</v>
      </c>
      <c r="D5">
        <f t="shared" si="0"/>
        <v>0</v>
      </c>
    </row>
    <row r="6" spans="1:4" x14ac:dyDescent="0.25">
      <c r="A6" s="1">
        <v>4</v>
      </c>
      <c r="B6" t="s">
        <v>6</v>
      </c>
      <c r="C6">
        <v>0</v>
      </c>
      <c r="D6">
        <f t="shared" si="0"/>
        <v>0</v>
      </c>
    </row>
    <row r="7" spans="1:4" x14ac:dyDescent="0.25">
      <c r="A7" s="1">
        <v>5</v>
      </c>
      <c r="B7" t="s">
        <v>7</v>
      </c>
      <c r="C7">
        <v>22.742999999999999</v>
      </c>
      <c r="D7">
        <f t="shared" si="0"/>
        <v>0.20830165868312836</v>
      </c>
    </row>
    <row r="8" spans="1:4" x14ac:dyDescent="0.25">
      <c r="A8" s="1">
        <v>6</v>
      </c>
      <c r="B8" t="s">
        <v>8</v>
      </c>
      <c r="C8">
        <v>10.254</v>
      </c>
      <c r="D8">
        <f t="shared" si="0"/>
        <v>9.3915719480138868E-2</v>
      </c>
    </row>
    <row r="9" spans="1:4" x14ac:dyDescent="0.25">
      <c r="A9" s="1">
        <v>7</v>
      </c>
      <c r="B9" t="s">
        <v>9</v>
      </c>
      <c r="C9">
        <v>26.327000000000002</v>
      </c>
      <c r="D9">
        <f t="shared" si="0"/>
        <v>0.2411272817196817</v>
      </c>
    </row>
    <row r="10" spans="1:4" x14ac:dyDescent="0.25">
      <c r="A10" s="1">
        <v>8</v>
      </c>
      <c r="B10" t="s">
        <v>10</v>
      </c>
      <c r="C10">
        <v>3.4569999999999999</v>
      </c>
      <c r="D10">
        <f t="shared" si="0"/>
        <v>3.1662438291675449E-2</v>
      </c>
    </row>
    <row r="11" spans="1:4" x14ac:dyDescent="0.25">
      <c r="A11" s="1">
        <v>9</v>
      </c>
      <c r="B11" t="s">
        <v>11</v>
      </c>
      <c r="C11">
        <v>14.939</v>
      </c>
      <c r="D11">
        <f t="shared" si="0"/>
        <v>0.13682532995063337</v>
      </c>
    </row>
    <row r="12" spans="1:4" x14ac:dyDescent="0.25">
      <c r="A12" s="1">
        <v>10</v>
      </c>
      <c r="B12" t="s">
        <v>12</v>
      </c>
      <c r="C12">
        <v>0</v>
      </c>
      <c r="D12">
        <f t="shared" si="0"/>
        <v>0</v>
      </c>
    </row>
    <row r="13" spans="1:4" x14ac:dyDescent="0.25">
      <c r="A13" s="1">
        <v>11</v>
      </c>
      <c r="B13" t="s">
        <v>13</v>
      </c>
      <c r="C13">
        <v>0</v>
      </c>
      <c r="D13">
        <f t="shared" si="0"/>
        <v>0</v>
      </c>
    </row>
    <row r="14" spans="1:4" x14ac:dyDescent="0.25">
      <c r="A14" s="1">
        <v>12</v>
      </c>
      <c r="B14" t="s">
        <v>14</v>
      </c>
      <c r="C14">
        <v>1.859</v>
      </c>
      <c r="D14">
        <f t="shared" si="0"/>
        <v>1.7026460163212225E-2</v>
      </c>
    </row>
    <row r="15" spans="1:4" x14ac:dyDescent="0.25">
      <c r="A15" t="s">
        <v>16</v>
      </c>
      <c r="C15">
        <f>SUM(C2:C14)</f>
        <v>109.18299999999998</v>
      </c>
    </row>
    <row r="16" spans="1:4" x14ac:dyDescent="0.25">
      <c r="A16" t="s">
        <v>15</v>
      </c>
      <c r="C16" t="str">
        <f ca="1">MID(CELL("filename",A1),FIND("]",CELL("filename",A1))+1,255)</f>
        <v>0.8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general</vt:lpstr>
      <vt:lpstr>0.6</vt:lpstr>
      <vt:lpstr>0.62</vt:lpstr>
      <vt:lpstr>0.64</vt:lpstr>
      <vt:lpstr>0.66</vt:lpstr>
      <vt:lpstr>0.68</vt:lpstr>
      <vt:lpstr>0.7</vt:lpstr>
      <vt:lpstr>0.72</vt:lpstr>
      <vt:lpstr>0.74</vt:lpstr>
      <vt:lpstr>0.76</vt:lpstr>
      <vt:lpstr>0.78</vt:lpstr>
      <vt:lpstr>0.8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Zhao</cp:lastModifiedBy>
  <dcterms:created xsi:type="dcterms:W3CDTF">2023-11-29T22:46:32Z</dcterms:created>
  <dcterms:modified xsi:type="dcterms:W3CDTF">2024-01-28T21:39:57Z</dcterms:modified>
</cp:coreProperties>
</file>